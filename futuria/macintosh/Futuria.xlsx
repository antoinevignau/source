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/Documents/antoine/apple iigs/crossdevtools/sources/futuria/macintosh/"/>
    </mc:Choice>
  </mc:AlternateContent>
  <xr:revisionPtr revIDLastSave="0" documentId="13_ncr:1_{1364675A-525E-3641-867D-3ECD080826D3}" xr6:coauthVersionLast="47" xr6:coauthVersionMax="47" xr10:uidLastSave="{00000000-0000-0000-0000-000000000000}"/>
  <bookViews>
    <workbookView xWindow="12680" yWindow="-27820" windowWidth="25680" windowHeight="27140" activeTab="4" xr2:uid="{26818192-07B7-0244-AB5A-5265CC246DAE}"/>
  </bookViews>
  <sheets>
    <sheet name="Descriptions" sheetId="1" r:id="rId1"/>
    <sheet name="Texts" sheetId="2" r:id="rId2"/>
    <sheet name="Vocabulary" sheetId="3" r:id="rId3"/>
    <sheet name="Messages" sheetId="4" r:id="rId4"/>
    <sheet name="Objects" sheetId="5" r:id="rId5"/>
    <sheet name="Game" sheetId="6" r:id="rId6"/>
  </sheets>
  <definedNames>
    <definedName name="_xlnm._FilterDatabase" localSheetId="5" hidden="1">Game!$A$1:$E$442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2" i="5"/>
  <c r="B3" i="6"/>
  <c r="D3" i="6" s="1"/>
  <c r="C3" i="6"/>
  <c r="E3" i="6" s="1"/>
  <c r="B4" i="6"/>
  <c r="D4" i="6" s="1"/>
  <c r="C4" i="6"/>
  <c r="E4" i="6" s="1"/>
  <c r="B5" i="6"/>
  <c r="D5" i="6" s="1"/>
  <c r="C5" i="6"/>
  <c r="E5" i="6" s="1"/>
  <c r="B6" i="6"/>
  <c r="D6" i="6" s="1"/>
  <c r="C6" i="6"/>
  <c r="E6" i="6" s="1"/>
  <c r="B7" i="6"/>
  <c r="D7" i="6" s="1"/>
  <c r="C7" i="6"/>
  <c r="E7" i="6" s="1"/>
  <c r="B8" i="6"/>
  <c r="D8" i="6" s="1"/>
  <c r="C8" i="6"/>
  <c r="E8" i="6" s="1"/>
  <c r="B9" i="6"/>
  <c r="D9" i="6" s="1"/>
  <c r="C9" i="6"/>
  <c r="E9" i="6" s="1"/>
  <c r="B10" i="6"/>
  <c r="D10" i="6" s="1"/>
  <c r="C10" i="6"/>
  <c r="E10" i="6" s="1"/>
  <c r="B11" i="6"/>
  <c r="D11" i="6" s="1"/>
  <c r="C11" i="6"/>
  <c r="E11" i="6" s="1"/>
  <c r="B12" i="6"/>
  <c r="D12" i="6" s="1"/>
  <c r="C12" i="6"/>
  <c r="E12" i="6" s="1"/>
  <c r="B13" i="6"/>
  <c r="D13" i="6" s="1"/>
  <c r="C13" i="6"/>
  <c r="E13" i="6" s="1"/>
  <c r="B14" i="6"/>
  <c r="D14" i="6" s="1"/>
  <c r="C14" i="6"/>
  <c r="E14" i="6" s="1"/>
  <c r="B15" i="6"/>
  <c r="D15" i="6" s="1"/>
  <c r="C15" i="6"/>
  <c r="E15" i="6" s="1"/>
  <c r="B16" i="6"/>
  <c r="D16" i="6" s="1"/>
  <c r="C16" i="6"/>
  <c r="E16" i="6" s="1"/>
  <c r="B17" i="6"/>
  <c r="D17" i="6" s="1"/>
  <c r="C17" i="6"/>
  <c r="E17" i="6" s="1"/>
  <c r="B18" i="6"/>
  <c r="D18" i="6" s="1"/>
  <c r="C18" i="6"/>
  <c r="E18" i="6" s="1"/>
  <c r="B19" i="6"/>
  <c r="D19" i="6" s="1"/>
  <c r="C19" i="6"/>
  <c r="E19" i="6" s="1"/>
  <c r="B20" i="6"/>
  <c r="D20" i="6" s="1"/>
  <c r="C20" i="6"/>
  <c r="E20" i="6" s="1"/>
  <c r="B21" i="6"/>
  <c r="D21" i="6" s="1"/>
  <c r="C21" i="6"/>
  <c r="E21" i="6" s="1"/>
  <c r="B22" i="6"/>
  <c r="D22" i="6" s="1"/>
  <c r="C22" i="6"/>
  <c r="E22" i="6" s="1"/>
  <c r="B23" i="6"/>
  <c r="D23" i="6" s="1"/>
  <c r="C23" i="6"/>
  <c r="E23" i="6" s="1"/>
  <c r="B24" i="6"/>
  <c r="D24" i="6" s="1"/>
  <c r="C24" i="6"/>
  <c r="E24" i="6" s="1"/>
  <c r="B25" i="6"/>
  <c r="D25" i="6" s="1"/>
  <c r="C25" i="6"/>
  <c r="E25" i="6" s="1"/>
  <c r="B26" i="6"/>
  <c r="D26" i="6" s="1"/>
  <c r="C26" i="6"/>
  <c r="E26" i="6" s="1"/>
  <c r="B27" i="6"/>
  <c r="D27" i="6" s="1"/>
  <c r="C27" i="6"/>
  <c r="E27" i="6" s="1"/>
  <c r="B28" i="6"/>
  <c r="D28" i="6" s="1"/>
  <c r="C28" i="6"/>
  <c r="E28" i="6" s="1"/>
  <c r="B29" i="6"/>
  <c r="D29" i="6" s="1"/>
  <c r="C29" i="6"/>
  <c r="E29" i="6" s="1"/>
  <c r="B30" i="6"/>
  <c r="D30" i="6" s="1"/>
  <c r="C30" i="6"/>
  <c r="E30" i="6" s="1"/>
  <c r="B31" i="6"/>
  <c r="D31" i="6" s="1"/>
  <c r="C31" i="6"/>
  <c r="E31" i="6" s="1"/>
  <c r="B32" i="6"/>
  <c r="D32" i="6" s="1"/>
  <c r="C32" i="6"/>
  <c r="E32" i="6" s="1"/>
  <c r="B33" i="6"/>
  <c r="D33" i="6" s="1"/>
  <c r="C33" i="6"/>
  <c r="E33" i="6" s="1"/>
  <c r="B34" i="6"/>
  <c r="D34" i="6" s="1"/>
  <c r="C34" i="6"/>
  <c r="E34" i="6" s="1"/>
  <c r="B35" i="6"/>
  <c r="D35" i="6" s="1"/>
  <c r="C35" i="6"/>
  <c r="E35" i="6" s="1"/>
  <c r="B36" i="6"/>
  <c r="D36" i="6" s="1"/>
  <c r="C36" i="6"/>
  <c r="E36" i="6" s="1"/>
  <c r="B37" i="6"/>
  <c r="D37" i="6" s="1"/>
  <c r="C37" i="6"/>
  <c r="E37" i="6" s="1"/>
  <c r="B38" i="6"/>
  <c r="D38" i="6" s="1"/>
  <c r="C38" i="6"/>
  <c r="E38" i="6" s="1"/>
  <c r="B39" i="6"/>
  <c r="D39" i="6" s="1"/>
  <c r="C39" i="6"/>
  <c r="E39" i="6" s="1"/>
  <c r="B40" i="6"/>
  <c r="D40" i="6" s="1"/>
  <c r="C40" i="6"/>
  <c r="E40" i="6" s="1"/>
  <c r="B41" i="6"/>
  <c r="D41" i="6" s="1"/>
  <c r="C41" i="6"/>
  <c r="E41" i="6" s="1"/>
  <c r="B42" i="6"/>
  <c r="D42" i="6" s="1"/>
  <c r="C42" i="6"/>
  <c r="E42" i="6" s="1"/>
  <c r="B43" i="6"/>
  <c r="D43" i="6" s="1"/>
  <c r="C43" i="6"/>
  <c r="E43" i="6" s="1"/>
  <c r="B44" i="6"/>
  <c r="D44" i="6" s="1"/>
  <c r="C44" i="6"/>
  <c r="E44" i="6" s="1"/>
  <c r="B45" i="6"/>
  <c r="D45" i="6" s="1"/>
  <c r="C45" i="6"/>
  <c r="E45" i="6" s="1"/>
  <c r="B46" i="6"/>
  <c r="D46" i="6" s="1"/>
  <c r="C46" i="6"/>
  <c r="E46" i="6" s="1"/>
  <c r="B47" i="6"/>
  <c r="D47" i="6" s="1"/>
  <c r="C47" i="6"/>
  <c r="E47" i="6" s="1"/>
  <c r="B48" i="6"/>
  <c r="D48" i="6" s="1"/>
  <c r="C48" i="6"/>
  <c r="E48" i="6" s="1"/>
  <c r="B49" i="6"/>
  <c r="D49" i="6" s="1"/>
  <c r="C49" i="6"/>
  <c r="E49" i="6" s="1"/>
  <c r="B50" i="6"/>
  <c r="D50" i="6" s="1"/>
  <c r="C50" i="6"/>
  <c r="E50" i="6" s="1"/>
  <c r="B51" i="6"/>
  <c r="D51" i="6" s="1"/>
  <c r="C51" i="6"/>
  <c r="E51" i="6" s="1"/>
  <c r="B52" i="6"/>
  <c r="D52" i="6" s="1"/>
  <c r="C52" i="6"/>
  <c r="E52" i="6" s="1"/>
  <c r="B53" i="6"/>
  <c r="D53" i="6" s="1"/>
  <c r="C53" i="6"/>
  <c r="E53" i="6" s="1"/>
  <c r="B54" i="6"/>
  <c r="D54" i="6" s="1"/>
  <c r="C54" i="6"/>
  <c r="E54" i="6" s="1"/>
  <c r="B55" i="6"/>
  <c r="D55" i="6" s="1"/>
  <c r="C55" i="6"/>
  <c r="E55" i="6" s="1"/>
  <c r="B56" i="6"/>
  <c r="D56" i="6" s="1"/>
  <c r="C56" i="6"/>
  <c r="E56" i="6" s="1"/>
  <c r="B57" i="6"/>
  <c r="D57" i="6" s="1"/>
  <c r="C57" i="6"/>
  <c r="E57" i="6" s="1"/>
  <c r="B58" i="6"/>
  <c r="D58" i="6" s="1"/>
  <c r="C58" i="6"/>
  <c r="E58" i="6" s="1"/>
  <c r="B59" i="6"/>
  <c r="D59" i="6" s="1"/>
  <c r="C59" i="6"/>
  <c r="E59" i="6" s="1"/>
  <c r="B60" i="6"/>
  <c r="D60" i="6" s="1"/>
  <c r="C60" i="6"/>
  <c r="E60" i="6" s="1"/>
  <c r="B61" i="6"/>
  <c r="D61" i="6" s="1"/>
  <c r="C61" i="6"/>
  <c r="E61" i="6" s="1"/>
  <c r="B62" i="6"/>
  <c r="D62" i="6" s="1"/>
  <c r="C62" i="6"/>
  <c r="E62" i="6" s="1"/>
  <c r="B63" i="6"/>
  <c r="D63" i="6" s="1"/>
  <c r="C63" i="6"/>
  <c r="E63" i="6" s="1"/>
  <c r="B64" i="6"/>
  <c r="D64" i="6" s="1"/>
  <c r="C64" i="6"/>
  <c r="E64" i="6" s="1"/>
  <c r="B65" i="6"/>
  <c r="D65" i="6" s="1"/>
  <c r="C65" i="6"/>
  <c r="E65" i="6" s="1"/>
  <c r="B66" i="6"/>
  <c r="D66" i="6" s="1"/>
  <c r="C66" i="6"/>
  <c r="E66" i="6" s="1"/>
  <c r="B67" i="6"/>
  <c r="D67" i="6" s="1"/>
  <c r="C67" i="6"/>
  <c r="E67" i="6" s="1"/>
  <c r="B68" i="6"/>
  <c r="D68" i="6" s="1"/>
  <c r="C68" i="6"/>
  <c r="E68" i="6" s="1"/>
  <c r="B69" i="6"/>
  <c r="D69" i="6" s="1"/>
  <c r="C69" i="6"/>
  <c r="E69" i="6" s="1"/>
  <c r="B70" i="6"/>
  <c r="D70" i="6" s="1"/>
  <c r="C70" i="6"/>
  <c r="E70" i="6" s="1"/>
  <c r="B71" i="6"/>
  <c r="D71" i="6" s="1"/>
  <c r="C71" i="6"/>
  <c r="E71" i="6" s="1"/>
  <c r="B72" i="6"/>
  <c r="D72" i="6" s="1"/>
  <c r="C72" i="6"/>
  <c r="E72" i="6" s="1"/>
  <c r="B73" i="6"/>
  <c r="D73" i="6" s="1"/>
  <c r="C73" i="6"/>
  <c r="E73" i="6" s="1"/>
  <c r="B74" i="6"/>
  <c r="D74" i="6" s="1"/>
  <c r="C74" i="6"/>
  <c r="E74" i="6" s="1"/>
  <c r="B75" i="6"/>
  <c r="D75" i="6" s="1"/>
  <c r="C75" i="6"/>
  <c r="E75" i="6" s="1"/>
  <c r="B76" i="6"/>
  <c r="D76" i="6" s="1"/>
  <c r="C76" i="6"/>
  <c r="E76" i="6" s="1"/>
  <c r="B77" i="6"/>
  <c r="D77" i="6" s="1"/>
  <c r="C77" i="6"/>
  <c r="E77" i="6" s="1"/>
  <c r="B78" i="6"/>
  <c r="D78" i="6" s="1"/>
  <c r="C78" i="6"/>
  <c r="E78" i="6" s="1"/>
  <c r="B79" i="6"/>
  <c r="D79" i="6" s="1"/>
  <c r="C79" i="6"/>
  <c r="E79" i="6" s="1"/>
  <c r="B80" i="6"/>
  <c r="D80" i="6" s="1"/>
  <c r="C80" i="6"/>
  <c r="E80" i="6" s="1"/>
  <c r="B81" i="6"/>
  <c r="D81" i="6" s="1"/>
  <c r="C81" i="6"/>
  <c r="E81" i="6" s="1"/>
  <c r="B82" i="6"/>
  <c r="D82" i="6" s="1"/>
  <c r="C82" i="6"/>
  <c r="E82" i="6" s="1"/>
  <c r="B83" i="6"/>
  <c r="D83" i="6" s="1"/>
  <c r="C83" i="6"/>
  <c r="E83" i="6" s="1"/>
  <c r="B84" i="6"/>
  <c r="D84" i="6" s="1"/>
  <c r="C84" i="6"/>
  <c r="E84" i="6" s="1"/>
  <c r="B85" i="6"/>
  <c r="D85" i="6" s="1"/>
  <c r="C85" i="6"/>
  <c r="E85" i="6" s="1"/>
  <c r="B86" i="6"/>
  <c r="D86" i="6" s="1"/>
  <c r="C86" i="6"/>
  <c r="E86" i="6" s="1"/>
  <c r="B87" i="6"/>
  <c r="D87" i="6" s="1"/>
  <c r="C87" i="6"/>
  <c r="E87" i="6" s="1"/>
  <c r="B88" i="6"/>
  <c r="D88" i="6" s="1"/>
  <c r="C88" i="6"/>
  <c r="E88" i="6" s="1"/>
  <c r="B89" i="6"/>
  <c r="D89" i="6" s="1"/>
  <c r="C89" i="6"/>
  <c r="E89" i="6" s="1"/>
  <c r="B90" i="6"/>
  <c r="D90" i="6" s="1"/>
  <c r="C90" i="6"/>
  <c r="E90" i="6" s="1"/>
  <c r="B91" i="6"/>
  <c r="D91" i="6" s="1"/>
  <c r="C91" i="6"/>
  <c r="E91" i="6" s="1"/>
  <c r="B92" i="6"/>
  <c r="D92" i="6" s="1"/>
  <c r="C92" i="6"/>
  <c r="E92" i="6" s="1"/>
  <c r="B93" i="6"/>
  <c r="D93" i="6" s="1"/>
  <c r="C93" i="6"/>
  <c r="E93" i="6" s="1"/>
  <c r="B94" i="6"/>
  <c r="D94" i="6" s="1"/>
  <c r="C94" i="6"/>
  <c r="E94" i="6" s="1"/>
  <c r="B95" i="6"/>
  <c r="D95" i="6" s="1"/>
  <c r="C95" i="6"/>
  <c r="E95" i="6" s="1"/>
  <c r="B96" i="6"/>
  <c r="D96" i="6" s="1"/>
  <c r="C96" i="6"/>
  <c r="E96" i="6" s="1"/>
  <c r="B97" i="6"/>
  <c r="D97" i="6" s="1"/>
  <c r="C97" i="6"/>
  <c r="E97" i="6" s="1"/>
  <c r="B98" i="6"/>
  <c r="D98" i="6" s="1"/>
  <c r="C98" i="6"/>
  <c r="E98" i="6" s="1"/>
  <c r="B99" i="6"/>
  <c r="D99" i="6" s="1"/>
  <c r="C99" i="6"/>
  <c r="E99" i="6" s="1"/>
  <c r="B100" i="6"/>
  <c r="D100" i="6" s="1"/>
  <c r="C100" i="6"/>
  <c r="E100" i="6" s="1"/>
  <c r="B101" i="6"/>
  <c r="D101" i="6" s="1"/>
  <c r="C101" i="6"/>
  <c r="E101" i="6" s="1"/>
  <c r="B102" i="6"/>
  <c r="D102" i="6" s="1"/>
  <c r="C102" i="6"/>
  <c r="E102" i="6" s="1"/>
  <c r="B103" i="6"/>
  <c r="D103" i="6" s="1"/>
  <c r="C103" i="6"/>
  <c r="E103" i="6" s="1"/>
  <c r="B104" i="6"/>
  <c r="D104" i="6" s="1"/>
  <c r="C104" i="6"/>
  <c r="E104" i="6" s="1"/>
  <c r="B105" i="6"/>
  <c r="D105" i="6" s="1"/>
  <c r="C105" i="6"/>
  <c r="E105" i="6" s="1"/>
  <c r="B106" i="6"/>
  <c r="D106" i="6" s="1"/>
  <c r="C106" i="6"/>
  <c r="E106" i="6" s="1"/>
  <c r="B107" i="6"/>
  <c r="D107" i="6" s="1"/>
  <c r="C107" i="6"/>
  <c r="E107" i="6" s="1"/>
  <c r="B108" i="6"/>
  <c r="D108" i="6" s="1"/>
  <c r="C108" i="6"/>
  <c r="E108" i="6" s="1"/>
  <c r="B109" i="6"/>
  <c r="D109" i="6" s="1"/>
  <c r="C109" i="6"/>
  <c r="E109" i="6" s="1"/>
  <c r="B110" i="6"/>
  <c r="D110" i="6" s="1"/>
  <c r="C110" i="6"/>
  <c r="E110" i="6" s="1"/>
  <c r="B111" i="6"/>
  <c r="D111" i="6" s="1"/>
  <c r="C111" i="6"/>
  <c r="E111" i="6" s="1"/>
  <c r="B112" i="6"/>
  <c r="D112" i="6" s="1"/>
  <c r="C112" i="6"/>
  <c r="E112" i="6" s="1"/>
  <c r="B113" i="6"/>
  <c r="D113" i="6" s="1"/>
  <c r="C113" i="6"/>
  <c r="E113" i="6" s="1"/>
  <c r="B114" i="6"/>
  <c r="D114" i="6" s="1"/>
  <c r="C114" i="6"/>
  <c r="E114" i="6" s="1"/>
  <c r="B115" i="6"/>
  <c r="D115" i="6" s="1"/>
  <c r="C115" i="6"/>
  <c r="E115" i="6" s="1"/>
  <c r="B116" i="6"/>
  <c r="D116" i="6" s="1"/>
  <c r="C116" i="6"/>
  <c r="E116" i="6" s="1"/>
  <c r="B117" i="6"/>
  <c r="D117" i="6" s="1"/>
  <c r="C117" i="6"/>
  <c r="E117" i="6" s="1"/>
  <c r="B118" i="6"/>
  <c r="D118" i="6" s="1"/>
  <c r="C118" i="6"/>
  <c r="E118" i="6" s="1"/>
  <c r="B119" i="6"/>
  <c r="D119" i="6" s="1"/>
  <c r="C119" i="6"/>
  <c r="E119" i="6" s="1"/>
  <c r="B120" i="6"/>
  <c r="D120" i="6" s="1"/>
  <c r="C120" i="6"/>
  <c r="E120" i="6" s="1"/>
  <c r="B121" i="6"/>
  <c r="D121" i="6" s="1"/>
  <c r="C121" i="6"/>
  <c r="E121" i="6" s="1"/>
  <c r="B122" i="6"/>
  <c r="D122" i="6" s="1"/>
  <c r="C122" i="6"/>
  <c r="E122" i="6" s="1"/>
  <c r="B123" i="6"/>
  <c r="D123" i="6" s="1"/>
  <c r="C123" i="6"/>
  <c r="E123" i="6" s="1"/>
  <c r="B124" i="6"/>
  <c r="D124" i="6" s="1"/>
  <c r="C124" i="6"/>
  <c r="E124" i="6" s="1"/>
  <c r="B125" i="6"/>
  <c r="D125" i="6" s="1"/>
  <c r="C125" i="6"/>
  <c r="E125" i="6" s="1"/>
  <c r="B126" i="6"/>
  <c r="D126" i="6" s="1"/>
  <c r="C126" i="6"/>
  <c r="E126" i="6" s="1"/>
  <c r="B127" i="6"/>
  <c r="D127" i="6" s="1"/>
  <c r="C127" i="6"/>
  <c r="E127" i="6" s="1"/>
  <c r="B128" i="6"/>
  <c r="D128" i="6" s="1"/>
  <c r="C128" i="6"/>
  <c r="E128" i="6" s="1"/>
  <c r="B129" i="6"/>
  <c r="D129" i="6" s="1"/>
  <c r="C129" i="6"/>
  <c r="E129" i="6" s="1"/>
  <c r="B130" i="6"/>
  <c r="D130" i="6" s="1"/>
  <c r="C130" i="6"/>
  <c r="E130" i="6" s="1"/>
  <c r="B131" i="6"/>
  <c r="D131" i="6" s="1"/>
  <c r="C131" i="6"/>
  <c r="E131" i="6" s="1"/>
  <c r="B132" i="6"/>
  <c r="D132" i="6" s="1"/>
  <c r="C132" i="6"/>
  <c r="E132" i="6" s="1"/>
  <c r="B133" i="6"/>
  <c r="D133" i="6" s="1"/>
  <c r="C133" i="6"/>
  <c r="E133" i="6" s="1"/>
  <c r="B134" i="6"/>
  <c r="D134" i="6" s="1"/>
  <c r="C134" i="6"/>
  <c r="E134" i="6" s="1"/>
  <c r="B135" i="6"/>
  <c r="D135" i="6" s="1"/>
  <c r="C135" i="6"/>
  <c r="E135" i="6" s="1"/>
  <c r="B136" i="6"/>
  <c r="D136" i="6" s="1"/>
  <c r="C136" i="6"/>
  <c r="E136" i="6" s="1"/>
  <c r="B137" i="6"/>
  <c r="D137" i="6" s="1"/>
  <c r="C137" i="6"/>
  <c r="E137" i="6" s="1"/>
  <c r="B138" i="6"/>
  <c r="D138" i="6" s="1"/>
  <c r="C138" i="6"/>
  <c r="E138" i="6" s="1"/>
  <c r="B139" i="6"/>
  <c r="D139" i="6" s="1"/>
  <c r="C139" i="6"/>
  <c r="E139" i="6" s="1"/>
  <c r="B140" i="6"/>
  <c r="D140" i="6" s="1"/>
  <c r="C140" i="6"/>
  <c r="E140" i="6" s="1"/>
  <c r="B141" i="6"/>
  <c r="D141" i="6" s="1"/>
  <c r="C141" i="6"/>
  <c r="E141" i="6" s="1"/>
  <c r="B142" i="6"/>
  <c r="D142" i="6" s="1"/>
  <c r="C142" i="6"/>
  <c r="E142" i="6" s="1"/>
  <c r="B143" i="6"/>
  <c r="D143" i="6" s="1"/>
  <c r="C143" i="6"/>
  <c r="E143" i="6" s="1"/>
  <c r="B144" i="6"/>
  <c r="D144" i="6" s="1"/>
  <c r="C144" i="6"/>
  <c r="E144" i="6" s="1"/>
  <c r="B145" i="6"/>
  <c r="D145" i="6" s="1"/>
  <c r="C145" i="6"/>
  <c r="E145" i="6" s="1"/>
  <c r="B146" i="6"/>
  <c r="D146" i="6" s="1"/>
  <c r="C146" i="6"/>
  <c r="E146" i="6" s="1"/>
  <c r="B147" i="6"/>
  <c r="D147" i="6" s="1"/>
  <c r="C147" i="6"/>
  <c r="E147" i="6" s="1"/>
  <c r="B148" i="6"/>
  <c r="D148" i="6" s="1"/>
  <c r="C148" i="6"/>
  <c r="E148" i="6" s="1"/>
  <c r="B149" i="6"/>
  <c r="D149" i="6" s="1"/>
  <c r="C149" i="6"/>
  <c r="E149" i="6" s="1"/>
  <c r="B150" i="6"/>
  <c r="D150" i="6" s="1"/>
  <c r="C150" i="6"/>
  <c r="E150" i="6" s="1"/>
  <c r="B151" i="6"/>
  <c r="D151" i="6" s="1"/>
  <c r="C151" i="6"/>
  <c r="E151" i="6" s="1"/>
  <c r="B152" i="6"/>
  <c r="D152" i="6" s="1"/>
  <c r="C152" i="6"/>
  <c r="E152" i="6" s="1"/>
  <c r="B153" i="6"/>
  <c r="D153" i="6" s="1"/>
  <c r="C153" i="6"/>
  <c r="E153" i="6" s="1"/>
  <c r="B154" i="6"/>
  <c r="D154" i="6" s="1"/>
  <c r="C154" i="6"/>
  <c r="E154" i="6" s="1"/>
  <c r="B155" i="6"/>
  <c r="D155" i="6" s="1"/>
  <c r="C155" i="6"/>
  <c r="E155" i="6" s="1"/>
  <c r="B156" i="6"/>
  <c r="D156" i="6" s="1"/>
  <c r="C156" i="6"/>
  <c r="E156" i="6" s="1"/>
  <c r="B157" i="6"/>
  <c r="D157" i="6" s="1"/>
  <c r="C157" i="6"/>
  <c r="E157" i="6" s="1"/>
  <c r="B158" i="6"/>
  <c r="D158" i="6" s="1"/>
  <c r="C158" i="6"/>
  <c r="E158" i="6" s="1"/>
  <c r="B159" i="6"/>
  <c r="D159" i="6" s="1"/>
  <c r="C159" i="6"/>
  <c r="E159" i="6" s="1"/>
  <c r="B160" i="6"/>
  <c r="D160" i="6" s="1"/>
  <c r="C160" i="6"/>
  <c r="E160" i="6" s="1"/>
  <c r="B161" i="6"/>
  <c r="D161" i="6" s="1"/>
  <c r="C161" i="6"/>
  <c r="E161" i="6" s="1"/>
  <c r="B162" i="6"/>
  <c r="D162" i="6" s="1"/>
  <c r="C162" i="6"/>
  <c r="E162" i="6" s="1"/>
  <c r="B163" i="6"/>
  <c r="D163" i="6" s="1"/>
  <c r="C163" i="6"/>
  <c r="E163" i="6" s="1"/>
  <c r="B164" i="6"/>
  <c r="D164" i="6" s="1"/>
  <c r="C164" i="6"/>
  <c r="E164" i="6" s="1"/>
  <c r="B165" i="6"/>
  <c r="D165" i="6" s="1"/>
  <c r="C165" i="6"/>
  <c r="E165" i="6" s="1"/>
  <c r="B166" i="6"/>
  <c r="D166" i="6" s="1"/>
  <c r="C166" i="6"/>
  <c r="E166" i="6" s="1"/>
  <c r="B167" i="6"/>
  <c r="D167" i="6" s="1"/>
  <c r="C167" i="6"/>
  <c r="E167" i="6" s="1"/>
  <c r="B168" i="6"/>
  <c r="D168" i="6" s="1"/>
  <c r="C168" i="6"/>
  <c r="E168" i="6" s="1"/>
  <c r="B169" i="6"/>
  <c r="D169" i="6" s="1"/>
  <c r="C169" i="6"/>
  <c r="E169" i="6" s="1"/>
  <c r="B170" i="6"/>
  <c r="D170" i="6" s="1"/>
  <c r="C170" i="6"/>
  <c r="E170" i="6" s="1"/>
  <c r="B171" i="6"/>
  <c r="D171" i="6" s="1"/>
  <c r="C171" i="6"/>
  <c r="E171" i="6" s="1"/>
  <c r="B172" i="6"/>
  <c r="D172" i="6" s="1"/>
  <c r="C172" i="6"/>
  <c r="E172" i="6" s="1"/>
  <c r="B173" i="6"/>
  <c r="D173" i="6" s="1"/>
  <c r="C173" i="6"/>
  <c r="E173" i="6" s="1"/>
  <c r="B174" i="6"/>
  <c r="D174" i="6" s="1"/>
  <c r="C174" i="6"/>
  <c r="E174" i="6" s="1"/>
  <c r="B175" i="6"/>
  <c r="D175" i="6" s="1"/>
  <c r="C175" i="6"/>
  <c r="E175" i="6" s="1"/>
  <c r="B176" i="6"/>
  <c r="D176" i="6" s="1"/>
  <c r="C176" i="6"/>
  <c r="E176" i="6" s="1"/>
  <c r="B177" i="6"/>
  <c r="D177" i="6" s="1"/>
  <c r="C177" i="6"/>
  <c r="E177" i="6" s="1"/>
  <c r="B178" i="6"/>
  <c r="D178" i="6" s="1"/>
  <c r="C178" i="6"/>
  <c r="E178" i="6" s="1"/>
  <c r="B179" i="6"/>
  <c r="D179" i="6" s="1"/>
  <c r="C179" i="6"/>
  <c r="E179" i="6" s="1"/>
  <c r="B180" i="6"/>
  <c r="D180" i="6" s="1"/>
  <c r="C180" i="6"/>
  <c r="E180" i="6" s="1"/>
  <c r="B181" i="6"/>
  <c r="D181" i="6" s="1"/>
  <c r="C181" i="6"/>
  <c r="E181" i="6" s="1"/>
  <c r="B182" i="6"/>
  <c r="D182" i="6" s="1"/>
  <c r="C182" i="6"/>
  <c r="E182" i="6" s="1"/>
  <c r="B183" i="6"/>
  <c r="D183" i="6" s="1"/>
  <c r="C183" i="6"/>
  <c r="E183" i="6" s="1"/>
  <c r="B184" i="6"/>
  <c r="D184" i="6" s="1"/>
  <c r="C184" i="6"/>
  <c r="E184" i="6" s="1"/>
  <c r="B185" i="6"/>
  <c r="D185" i="6" s="1"/>
  <c r="C185" i="6"/>
  <c r="E185" i="6" s="1"/>
  <c r="B186" i="6"/>
  <c r="D186" i="6" s="1"/>
  <c r="C186" i="6"/>
  <c r="E186" i="6" s="1"/>
  <c r="B187" i="6"/>
  <c r="D187" i="6" s="1"/>
  <c r="C187" i="6"/>
  <c r="E187" i="6" s="1"/>
  <c r="B188" i="6"/>
  <c r="D188" i="6" s="1"/>
  <c r="C188" i="6"/>
  <c r="E188" i="6" s="1"/>
  <c r="B189" i="6"/>
  <c r="D189" i="6" s="1"/>
  <c r="C189" i="6"/>
  <c r="E189" i="6" s="1"/>
  <c r="B190" i="6"/>
  <c r="D190" i="6" s="1"/>
  <c r="C190" i="6"/>
  <c r="E190" i="6" s="1"/>
  <c r="B191" i="6"/>
  <c r="D191" i="6" s="1"/>
  <c r="C191" i="6"/>
  <c r="E191" i="6" s="1"/>
  <c r="B192" i="6"/>
  <c r="D192" i="6" s="1"/>
  <c r="C192" i="6"/>
  <c r="E192" i="6" s="1"/>
  <c r="B193" i="6"/>
  <c r="D193" i="6" s="1"/>
  <c r="C193" i="6"/>
  <c r="E193" i="6" s="1"/>
  <c r="B194" i="6"/>
  <c r="D194" i="6" s="1"/>
  <c r="C194" i="6"/>
  <c r="E194" i="6" s="1"/>
  <c r="B195" i="6"/>
  <c r="D195" i="6" s="1"/>
  <c r="C195" i="6"/>
  <c r="E195" i="6" s="1"/>
  <c r="B196" i="6"/>
  <c r="D196" i="6" s="1"/>
  <c r="C196" i="6"/>
  <c r="E196" i="6" s="1"/>
  <c r="B197" i="6"/>
  <c r="D197" i="6" s="1"/>
  <c r="C197" i="6"/>
  <c r="E197" i="6" s="1"/>
  <c r="B198" i="6"/>
  <c r="D198" i="6" s="1"/>
  <c r="C198" i="6"/>
  <c r="E198" i="6" s="1"/>
  <c r="B199" i="6"/>
  <c r="D199" i="6" s="1"/>
  <c r="C199" i="6"/>
  <c r="E199" i="6" s="1"/>
  <c r="B200" i="6"/>
  <c r="D200" i="6" s="1"/>
  <c r="C200" i="6"/>
  <c r="E200" i="6" s="1"/>
  <c r="B201" i="6"/>
  <c r="D201" i="6" s="1"/>
  <c r="C201" i="6"/>
  <c r="E201" i="6" s="1"/>
  <c r="B202" i="6"/>
  <c r="D202" i="6" s="1"/>
  <c r="C202" i="6"/>
  <c r="E202" i="6" s="1"/>
  <c r="B203" i="6"/>
  <c r="D203" i="6" s="1"/>
  <c r="C203" i="6"/>
  <c r="E203" i="6" s="1"/>
  <c r="B204" i="6"/>
  <c r="D204" i="6" s="1"/>
  <c r="C204" i="6"/>
  <c r="E204" i="6" s="1"/>
  <c r="B205" i="6"/>
  <c r="D205" i="6" s="1"/>
  <c r="C205" i="6"/>
  <c r="E205" i="6" s="1"/>
  <c r="B206" i="6"/>
  <c r="D206" i="6" s="1"/>
  <c r="C206" i="6"/>
  <c r="E206" i="6" s="1"/>
  <c r="B207" i="6"/>
  <c r="D207" i="6" s="1"/>
  <c r="C207" i="6"/>
  <c r="E207" i="6" s="1"/>
  <c r="B208" i="6"/>
  <c r="D208" i="6" s="1"/>
  <c r="C208" i="6"/>
  <c r="E208" i="6" s="1"/>
  <c r="B209" i="6"/>
  <c r="D209" i="6" s="1"/>
  <c r="C209" i="6"/>
  <c r="E209" i="6" s="1"/>
  <c r="B210" i="6"/>
  <c r="D210" i="6" s="1"/>
  <c r="C210" i="6"/>
  <c r="E210" i="6" s="1"/>
  <c r="B211" i="6"/>
  <c r="D211" i="6" s="1"/>
  <c r="C211" i="6"/>
  <c r="E211" i="6" s="1"/>
  <c r="B212" i="6"/>
  <c r="D212" i="6" s="1"/>
  <c r="C212" i="6"/>
  <c r="E212" i="6" s="1"/>
  <c r="B213" i="6"/>
  <c r="D213" i="6" s="1"/>
  <c r="C213" i="6"/>
  <c r="E213" i="6" s="1"/>
  <c r="B214" i="6"/>
  <c r="D214" i="6" s="1"/>
  <c r="C214" i="6"/>
  <c r="E214" i="6" s="1"/>
  <c r="B215" i="6"/>
  <c r="D215" i="6" s="1"/>
  <c r="C215" i="6"/>
  <c r="E215" i="6" s="1"/>
  <c r="B216" i="6"/>
  <c r="D216" i="6" s="1"/>
  <c r="C216" i="6"/>
  <c r="E216" i="6" s="1"/>
  <c r="B217" i="6"/>
  <c r="D217" i="6" s="1"/>
  <c r="C217" i="6"/>
  <c r="E217" i="6" s="1"/>
  <c r="B218" i="6"/>
  <c r="D218" i="6" s="1"/>
  <c r="C218" i="6"/>
  <c r="E218" i="6" s="1"/>
  <c r="B219" i="6"/>
  <c r="D219" i="6" s="1"/>
  <c r="C219" i="6"/>
  <c r="E219" i="6" s="1"/>
  <c r="B220" i="6"/>
  <c r="D220" i="6" s="1"/>
  <c r="C220" i="6"/>
  <c r="E220" i="6" s="1"/>
  <c r="B221" i="6"/>
  <c r="D221" i="6" s="1"/>
  <c r="C221" i="6"/>
  <c r="E221" i="6" s="1"/>
  <c r="B222" i="6"/>
  <c r="D222" i="6" s="1"/>
  <c r="C222" i="6"/>
  <c r="E222" i="6" s="1"/>
  <c r="B223" i="6"/>
  <c r="D223" i="6" s="1"/>
  <c r="C223" i="6"/>
  <c r="E223" i="6" s="1"/>
  <c r="B224" i="6"/>
  <c r="D224" i="6" s="1"/>
  <c r="C224" i="6"/>
  <c r="E224" i="6" s="1"/>
  <c r="B225" i="6"/>
  <c r="D225" i="6" s="1"/>
  <c r="C225" i="6"/>
  <c r="E225" i="6" s="1"/>
  <c r="B226" i="6"/>
  <c r="D226" i="6" s="1"/>
  <c r="C226" i="6"/>
  <c r="E226" i="6" s="1"/>
  <c r="B227" i="6"/>
  <c r="D227" i="6" s="1"/>
  <c r="C227" i="6"/>
  <c r="E227" i="6" s="1"/>
  <c r="B228" i="6"/>
  <c r="D228" i="6" s="1"/>
  <c r="C228" i="6"/>
  <c r="E228" i="6" s="1"/>
  <c r="B229" i="6"/>
  <c r="D229" i="6" s="1"/>
  <c r="C229" i="6"/>
  <c r="E229" i="6" s="1"/>
  <c r="B230" i="6"/>
  <c r="D230" i="6" s="1"/>
  <c r="C230" i="6"/>
  <c r="E230" i="6" s="1"/>
  <c r="B231" i="6"/>
  <c r="D231" i="6" s="1"/>
  <c r="C231" i="6"/>
  <c r="E231" i="6" s="1"/>
  <c r="B232" i="6"/>
  <c r="D232" i="6" s="1"/>
  <c r="C232" i="6"/>
  <c r="E232" i="6" s="1"/>
  <c r="B233" i="6"/>
  <c r="D233" i="6" s="1"/>
  <c r="C233" i="6"/>
  <c r="E233" i="6" s="1"/>
  <c r="B234" i="6"/>
  <c r="D234" i="6" s="1"/>
  <c r="C234" i="6"/>
  <c r="E234" i="6" s="1"/>
  <c r="B235" i="6"/>
  <c r="D235" i="6" s="1"/>
  <c r="C235" i="6"/>
  <c r="E235" i="6" s="1"/>
  <c r="B236" i="6"/>
  <c r="D236" i="6" s="1"/>
  <c r="C236" i="6"/>
  <c r="E236" i="6" s="1"/>
  <c r="B237" i="6"/>
  <c r="D237" i="6" s="1"/>
  <c r="C237" i="6"/>
  <c r="E237" i="6" s="1"/>
  <c r="B238" i="6"/>
  <c r="D238" i="6" s="1"/>
  <c r="C238" i="6"/>
  <c r="E238" i="6" s="1"/>
  <c r="B239" i="6"/>
  <c r="D239" i="6" s="1"/>
  <c r="C239" i="6"/>
  <c r="E239" i="6" s="1"/>
  <c r="B240" i="6"/>
  <c r="D240" i="6" s="1"/>
  <c r="C240" i="6"/>
  <c r="E240" i="6" s="1"/>
  <c r="B241" i="6"/>
  <c r="D241" i="6" s="1"/>
  <c r="C241" i="6"/>
  <c r="E241" i="6" s="1"/>
  <c r="B242" i="6"/>
  <c r="D242" i="6" s="1"/>
  <c r="C242" i="6"/>
  <c r="E242" i="6" s="1"/>
  <c r="B243" i="6"/>
  <c r="D243" i="6" s="1"/>
  <c r="C243" i="6"/>
  <c r="E243" i="6" s="1"/>
  <c r="B244" i="6"/>
  <c r="D244" i="6" s="1"/>
  <c r="C244" i="6"/>
  <c r="E244" i="6" s="1"/>
  <c r="B245" i="6"/>
  <c r="D245" i="6" s="1"/>
  <c r="C245" i="6"/>
  <c r="E245" i="6" s="1"/>
  <c r="B246" i="6"/>
  <c r="D246" i="6" s="1"/>
  <c r="C246" i="6"/>
  <c r="E246" i="6" s="1"/>
  <c r="B247" i="6"/>
  <c r="D247" i="6" s="1"/>
  <c r="C247" i="6"/>
  <c r="E247" i="6" s="1"/>
  <c r="B248" i="6"/>
  <c r="D248" i="6" s="1"/>
  <c r="C248" i="6"/>
  <c r="E248" i="6" s="1"/>
  <c r="B249" i="6"/>
  <c r="D249" i="6" s="1"/>
  <c r="C249" i="6"/>
  <c r="E249" i="6" s="1"/>
  <c r="B250" i="6"/>
  <c r="D250" i="6" s="1"/>
  <c r="C250" i="6"/>
  <c r="E250" i="6" s="1"/>
  <c r="B251" i="6"/>
  <c r="D251" i="6" s="1"/>
  <c r="C251" i="6"/>
  <c r="E251" i="6" s="1"/>
  <c r="B252" i="6"/>
  <c r="D252" i="6" s="1"/>
  <c r="C252" i="6"/>
  <c r="E252" i="6" s="1"/>
  <c r="B253" i="6"/>
  <c r="D253" i="6" s="1"/>
  <c r="C253" i="6"/>
  <c r="E253" i="6" s="1"/>
  <c r="B254" i="6"/>
  <c r="D254" i="6" s="1"/>
  <c r="C254" i="6"/>
  <c r="E254" i="6" s="1"/>
  <c r="B255" i="6"/>
  <c r="D255" i="6" s="1"/>
  <c r="C255" i="6"/>
  <c r="E255" i="6" s="1"/>
  <c r="B256" i="6"/>
  <c r="D256" i="6" s="1"/>
  <c r="C256" i="6"/>
  <c r="E256" i="6" s="1"/>
  <c r="B257" i="6"/>
  <c r="D257" i="6" s="1"/>
  <c r="C257" i="6"/>
  <c r="E257" i="6" s="1"/>
  <c r="B258" i="6"/>
  <c r="D258" i="6" s="1"/>
  <c r="C258" i="6"/>
  <c r="E258" i="6" s="1"/>
  <c r="B259" i="6"/>
  <c r="D259" i="6" s="1"/>
  <c r="C259" i="6"/>
  <c r="E259" i="6" s="1"/>
  <c r="B260" i="6"/>
  <c r="D260" i="6" s="1"/>
  <c r="C260" i="6"/>
  <c r="E260" i="6" s="1"/>
  <c r="B261" i="6"/>
  <c r="D261" i="6" s="1"/>
  <c r="C261" i="6"/>
  <c r="E261" i="6" s="1"/>
  <c r="B262" i="6"/>
  <c r="D262" i="6" s="1"/>
  <c r="C262" i="6"/>
  <c r="E262" i="6" s="1"/>
  <c r="B263" i="6"/>
  <c r="D263" i="6" s="1"/>
  <c r="C263" i="6"/>
  <c r="E263" i="6" s="1"/>
  <c r="B264" i="6"/>
  <c r="D264" i="6" s="1"/>
  <c r="C264" i="6"/>
  <c r="E264" i="6" s="1"/>
  <c r="B265" i="6"/>
  <c r="D265" i="6" s="1"/>
  <c r="C265" i="6"/>
  <c r="E265" i="6" s="1"/>
  <c r="B266" i="6"/>
  <c r="D266" i="6" s="1"/>
  <c r="C266" i="6"/>
  <c r="E266" i="6" s="1"/>
  <c r="B267" i="6"/>
  <c r="D267" i="6" s="1"/>
  <c r="C267" i="6"/>
  <c r="E267" i="6" s="1"/>
  <c r="B268" i="6"/>
  <c r="D268" i="6" s="1"/>
  <c r="C268" i="6"/>
  <c r="E268" i="6" s="1"/>
  <c r="B269" i="6"/>
  <c r="D269" i="6" s="1"/>
  <c r="C269" i="6"/>
  <c r="E269" i="6" s="1"/>
  <c r="B270" i="6"/>
  <c r="D270" i="6" s="1"/>
  <c r="C270" i="6"/>
  <c r="E270" i="6" s="1"/>
  <c r="B271" i="6"/>
  <c r="D271" i="6" s="1"/>
  <c r="C271" i="6"/>
  <c r="E271" i="6" s="1"/>
  <c r="B272" i="6"/>
  <c r="D272" i="6" s="1"/>
  <c r="C272" i="6"/>
  <c r="E272" i="6" s="1"/>
  <c r="B273" i="6"/>
  <c r="D273" i="6" s="1"/>
  <c r="C273" i="6"/>
  <c r="E273" i="6" s="1"/>
  <c r="B274" i="6"/>
  <c r="D274" i="6" s="1"/>
  <c r="C274" i="6"/>
  <c r="E274" i="6" s="1"/>
  <c r="B275" i="6"/>
  <c r="D275" i="6" s="1"/>
  <c r="C275" i="6"/>
  <c r="E275" i="6" s="1"/>
  <c r="B276" i="6"/>
  <c r="D276" i="6" s="1"/>
  <c r="C276" i="6"/>
  <c r="E276" i="6" s="1"/>
  <c r="B277" i="6"/>
  <c r="D277" i="6" s="1"/>
  <c r="C277" i="6"/>
  <c r="E277" i="6" s="1"/>
  <c r="B278" i="6"/>
  <c r="D278" i="6" s="1"/>
  <c r="C278" i="6"/>
  <c r="E278" i="6" s="1"/>
  <c r="B279" i="6"/>
  <c r="D279" i="6" s="1"/>
  <c r="C279" i="6"/>
  <c r="E279" i="6" s="1"/>
  <c r="B280" i="6"/>
  <c r="D280" i="6" s="1"/>
  <c r="C280" i="6"/>
  <c r="E280" i="6" s="1"/>
  <c r="B281" i="6"/>
  <c r="D281" i="6" s="1"/>
  <c r="C281" i="6"/>
  <c r="E281" i="6" s="1"/>
  <c r="B282" i="6"/>
  <c r="D282" i="6" s="1"/>
  <c r="C282" i="6"/>
  <c r="E282" i="6" s="1"/>
  <c r="B283" i="6"/>
  <c r="D283" i="6" s="1"/>
  <c r="C283" i="6"/>
  <c r="E283" i="6" s="1"/>
  <c r="B284" i="6"/>
  <c r="D284" i="6" s="1"/>
  <c r="C284" i="6"/>
  <c r="E284" i="6" s="1"/>
  <c r="B285" i="6"/>
  <c r="D285" i="6" s="1"/>
  <c r="C285" i="6"/>
  <c r="E285" i="6" s="1"/>
  <c r="B286" i="6"/>
  <c r="D286" i="6" s="1"/>
  <c r="C286" i="6"/>
  <c r="E286" i="6" s="1"/>
  <c r="B287" i="6"/>
  <c r="D287" i="6" s="1"/>
  <c r="C287" i="6"/>
  <c r="E287" i="6" s="1"/>
  <c r="B288" i="6"/>
  <c r="D288" i="6" s="1"/>
  <c r="C288" i="6"/>
  <c r="E288" i="6" s="1"/>
  <c r="B289" i="6"/>
  <c r="D289" i="6" s="1"/>
  <c r="C289" i="6"/>
  <c r="E289" i="6" s="1"/>
  <c r="B290" i="6"/>
  <c r="D290" i="6" s="1"/>
  <c r="C290" i="6"/>
  <c r="E290" i="6" s="1"/>
  <c r="B291" i="6"/>
  <c r="D291" i="6" s="1"/>
  <c r="C291" i="6"/>
  <c r="E291" i="6" s="1"/>
  <c r="B292" i="6"/>
  <c r="D292" i="6" s="1"/>
  <c r="C292" i="6"/>
  <c r="E292" i="6" s="1"/>
  <c r="B293" i="6"/>
  <c r="D293" i="6" s="1"/>
  <c r="C293" i="6"/>
  <c r="E293" i="6" s="1"/>
  <c r="B294" i="6"/>
  <c r="D294" i="6" s="1"/>
  <c r="C294" i="6"/>
  <c r="E294" i="6" s="1"/>
  <c r="B295" i="6"/>
  <c r="D295" i="6" s="1"/>
  <c r="C295" i="6"/>
  <c r="E295" i="6" s="1"/>
  <c r="B296" i="6"/>
  <c r="D296" i="6" s="1"/>
  <c r="C296" i="6"/>
  <c r="E296" i="6" s="1"/>
  <c r="B297" i="6"/>
  <c r="D297" i="6" s="1"/>
  <c r="C297" i="6"/>
  <c r="E297" i="6" s="1"/>
  <c r="B298" i="6"/>
  <c r="D298" i="6" s="1"/>
  <c r="C298" i="6"/>
  <c r="E298" i="6" s="1"/>
  <c r="B299" i="6"/>
  <c r="D299" i="6" s="1"/>
  <c r="C299" i="6"/>
  <c r="E299" i="6" s="1"/>
  <c r="B300" i="6"/>
  <c r="D300" i="6" s="1"/>
  <c r="C300" i="6"/>
  <c r="E300" i="6" s="1"/>
  <c r="B301" i="6"/>
  <c r="D301" i="6" s="1"/>
  <c r="C301" i="6"/>
  <c r="E301" i="6" s="1"/>
  <c r="B302" i="6"/>
  <c r="D302" i="6" s="1"/>
  <c r="C302" i="6"/>
  <c r="E302" i="6" s="1"/>
  <c r="B303" i="6"/>
  <c r="D303" i="6" s="1"/>
  <c r="C303" i="6"/>
  <c r="E303" i="6" s="1"/>
  <c r="B304" i="6"/>
  <c r="D304" i="6" s="1"/>
  <c r="C304" i="6"/>
  <c r="E304" i="6" s="1"/>
  <c r="B305" i="6"/>
  <c r="D305" i="6" s="1"/>
  <c r="C305" i="6"/>
  <c r="E305" i="6" s="1"/>
  <c r="B306" i="6"/>
  <c r="D306" i="6" s="1"/>
  <c r="C306" i="6"/>
  <c r="E306" i="6" s="1"/>
  <c r="B307" i="6"/>
  <c r="D307" i="6" s="1"/>
  <c r="C307" i="6"/>
  <c r="E307" i="6" s="1"/>
  <c r="B308" i="6"/>
  <c r="D308" i="6" s="1"/>
  <c r="C308" i="6"/>
  <c r="E308" i="6" s="1"/>
  <c r="B309" i="6"/>
  <c r="D309" i="6" s="1"/>
  <c r="C309" i="6"/>
  <c r="E309" i="6" s="1"/>
  <c r="B310" i="6"/>
  <c r="D310" i="6" s="1"/>
  <c r="C310" i="6"/>
  <c r="E310" i="6" s="1"/>
  <c r="B311" i="6"/>
  <c r="D311" i="6" s="1"/>
  <c r="C311" i="6"/>
  <c r="E311" i="6" s="1"/>
  <c r="B312" i="6"/>
  <c r="D312" i="6" s="1"/>
  <c r="C312" i="6"/>
  <c r="E312" i="6" s="1"/>
  <c r="B313" i="6"/>
  <c r="D313" i="6" s="1"/>
  <c r="C313" i="6"/>
  <c r="E313" i="6" s="1"/>
  <c r="B314" i="6"/>
  <c r="D314" i="6" s="1"/>
  <c r="C314" i="6"/>
  <c r="E314" i="6" s="1"/>
  <c r="B315" i="6"/>
  <c r="D315" i="6" s="1"/>
  <c r="C315" i="6"/>
  <c r="E315" i="6" s="1"/>
  <c r="B316" i="6"/>
  <c r="D316" i="6" s="1"/>
  <c r="C316" i="6"/>
  <c r="E316" i="6" s="1"/>
  <c r="B317" i="6"/>
  <c r="D317" i="6" s="1"/>
  <c r="C317" i="6"/>
  <c r="E317" i="6" s="1"/>
  <c r="B318" i="6"/>
  <c r="D318" i="6" s="1"/>
  <c r="C318" i="6"/>
  <c r="E318" i="6" s="1"/>
  <c r="B319" i="6"/>
  <c r="D319" i="6" s="1"/>
  <c r="C319" i="6"/>
  <c r="E319" i="6" s="1"/>
  <c r="B320" i="6"/>
  <c r="D320" i="6" s="1"/>
  <c r="C320" i="6"/>
  <c r="E320" i="6" s="1"/>
  <c r="B321" i="6"/>
  <c r="D321" i="6" s="1"/>
  <c r="C321" i="6"/>
  <c r="E321" i="6" s="1"/>
  <c r="B322" i="6"/>
  <c r="D322" i="6" s="1"/>
  <c r="C322" i="6"/>
  <c r="E322" i="6" s="1"/>
  <c r="B323" i="6"/>
  <c r="D323" i="6" s="1"/>
  <c r="C323" i="6"/>
  <c r="E323" i="6" s="1"/>
  <c r="B324" i="6"/>
  <c r="D324" i="6" s="1"/>
  <c r="C324" i="6"/>
  <c r="E324" i="6" s="1"/>
  <c r="B325" i="6"/>
  <c r="D325" i="6" s="1"/>
  <c r="C325" i="6"/>
  <c r="E325" i="6" s="1"/>
  <c r="B326" i="6"/>
  <c r="D326" i="6" s="1"/>
  <c r="C326" i="6"/>
  <c r="E326" i="6" s="1"/>
  <c r="B327" i="6"/>
  <c r="D327" i="6" s="1"/>
  <c r="C327" i="6"/>
  <c r="E327" i="6" s="1"/>
  <c r="B328" i="6"/>
  <c r="D328" i="6" s="1"/>
  <c r="C328" i="6"/>
  <c r="E328" i="6" s="1"/>
  <c r="B329" i="6"/>
  <c r="D329" i="6" s="1"/>
  <c r="C329" i="6"/>
  <c r="E329" i="6" s="1"/>
  <c r="B330" i="6"/>
  <c r="D330" i="6" s="1"/>
  <c r="C330" i="6"/>
  <c r="E330" i="6" s="1"/>
  <c r="B331" i="6"/>
  <c r="D331" i="6" s="1"/>
  <c r="C331" i="6"/>
  <c r="E331" i="6" s="1"/>
  <c r="B332" i="6"/>
  <c r="D332" i="6" s="1"/>
  <c r="C332" i="6"/>
  <c r="E332" i="6" s="1"/>
  <c r="B333" i="6"/>
  <c r="D333" i="6" s="1"/>
  <c r="C333" i="6"/>
  <c r="E333" i="6" s="1"/>
  <c r="B334" i="6"/>
  <c r="D334" i="6" s="1"/>
  <c r="C334" i="6"/>
  <c r="E334" i="6" s="1"/>
  <c r="B335" i="6"/>
  <c r="D335" i="6" s="1"/>
  <c r="C335" i="6"/>
  <c r="E335" i="6" s="1"/>
  <c r="B336" i="6"/>
  <c r="D336" i="6" s="1"/>
  <c r="C336" i="6"/>
  <c r="E336" i="6" s="1"/>
  <c r="B337" i="6"/>
  <c r="D337" i="6" s="1"/>
  <c r="C337" i="6"/>
  <c r="E337" i="6" s="1"/>
  <c r="B338" i="6"/>
  <c r="D338" i="6" s="1"/>
  <c r="C338" i="6"/>
  <c r="E338" i="6" s="1"/>
  <c r="B339" i="6"/>
  <c r="D339" i="6" s="1"/>
  <c r="C339" i="6"/>
  <c r="E339" i="6" s="1"/>
  <c r="B340" i="6"/>
  <c r="D340" i="6" s="1"/>
  <c r="C340" i="6"/>
  <c r="E340" i="6" s="1"/>
  <c r="B341" i="6"/>
  <c r="D341" i="6" s="1"/>
  <c r="C341" i="6"/>
  <c r="E341" i="6" s="1"/>
  <c r="B342" i="6"/>
  <c r="D342" i="6" s="1"/>
  <c r="C342" i="6"/>
  <c r="E342" i="6" s="1"/>
  <c r="B343" i="6"/>
  <c r="D343" i="6" s="1"/>
  <c r="C343" i="6"/>
  <c r="E343" i="6" s="1"/>
  <c r="B344" i="6"/>
  <c r="D344" i="6" s="1"/>
  <c r="C344" i="6"/>
  <c r="E344" i="6" s="1"/>
  <c r="B345" i="6"/>
  <c r="D345" i="6" s="1"/>
  <c r="C345" i="6"/>
  <c r="E345" i="6" s="1"/>
  <c r="B346" i="6"/>
  <c r="D346" i="6" s="1"/>
  <c r="C346" i="6"/>
  <c r="E346" i="6" s="1"/>
  <c r="B347" i="6"/>
  <c r="D347" i="6" s="1"/>
  <c r="C347" i="6"/>
  <c r="E347" i="6" s="1"/>
  <c r="B348" i="6"/>
  <c r="D348" i="6" s="1"/>
  <c r="C348" i="6"/>
  <c r="E348" i="6" s="1"/>
  <c r="B349" i="6"/>
  <c r="D349" i="6" s="1"/>
  <c r="C349" i="6"/>
  <c r="E349" i="6" s="1"/>
  <c r="B350" i="6"/>
  <c r="D350" i="6" s="1"/>
  <c r="C350" i="6"/>
  <c r="E350" i="6" s="1"/>
  <c r="B351" i="6"/>
  <c r="D351" i="6" s="1"/>
  <c r="C351" i="6"/>
  <c r="E351" i="6" s="1"/>
  <c r="B352" i="6"/>
  <c r="D352" i="6" s="1"/>
  <c r="C352" i="6"/>
  <c r="E352" i="6" s="1"/>
  <c r="B353" i="6"/>
  <c r="D353" i="6" s="1"/>
  <c r="C353" i="6"/>
  <c r="E353" i="6" s="1"/>
  <c r="B354" i="6"/>
  <c r="D354" i="6" s="1"/>
  <c r="C354" i="6"/>
  <c r="E354" i="6" s="1"/>
  <c r="B355" i="6"/>
  <c r="D355" i="6" s="1"/>
  <c r="C355" i="6"/>
  <c r="E355" i="6" s="1"/>
  <c r="B356" i="6"/>
  <c r="D356" i="6" s="1"/>
  <c r="C356" i="6"/>
  <c r="E356" i="6" s="1"/>
  <c r="B357" i="6"/>
  <c r="D357" i="6" s="1"/>
  <c r="C357" i="6"/>
  <c r="E357" i="6" s="1"/>
  <c r="B358" i="6"/>
  <c r="D358" i="6" s="1"/>
  <c r="C358" i="6"/>
  <c r="E358" i="6" s="1"/>
  <c r="B359" i="6"/>
  <c r="D359" i="6" s="1"/>
  <c r="C359" i="6"/>
  <c r="E359" i="6" s="1"/>
  <c r="B360" i="6"/>
  <c r="D360" i="6" s="1"/>
  <c r="C360" i="6"/>
  <c r="E360" i="6" s="1"/>
  <c r="B361" i="6"/>
  <c r="D361" i="6" s="1"/>
  <c r="C361" i="6"/>
  <c r="E361" i="6" s="1"/>
  <c r="B362" i="6"/>
  <c r="D362" i="6" s="1"/>
  <c r="C362" i="6"/>
  <c r="E362" i="6" s="1"/>
  <c r="B363" i="6"/>
  <c r="D363" i="6" s="1"/>
  <c r="C363" i="6"/>
  <c r="E363" i="6" s="1"/>
  <c r="B364" i="6"/>
  <c r="D364" i="6" s="1"/>
  <c r="C364" i="6"/>
  <c r="E364" i="6" s="1"/>
  <c r="B365" i="6"/>
  <c r="D365" i="6" s="1"/>
  <c r="C365" i="6"/>
  <c r="E365" i="6" s="1"/>
  <c r="B366" i="6"/>
  <c r="D366" i="6" s="1"/>
  <c r="C366" i="6"/>
  <c r="E366" i="6" s="1"/>
  <c r="B367" i="6"/>
  <c r="D367" i="6" s="1"/>
  <c r="C367" i="6"/>
  <c r="E367" i="6" s="1"/>
  <c r="B368" i="6"/>
  <c r="D368" i="6" s="1"/>
  <c r="C368" i="6"/>
  <c r="E368" i="6" s="1"/>
  <c r="B369" i="6"/>
  <c r="D369" i="6" s="1"/>
  <c r="C369" i="6"/>
  <c r="E369" i="6" s="1"/>
  <c r="B370" i="6"/>
  <c r="D370" i="6" s="1"/>
  <c r="C370" i="6"/>
  <c r="E370" i="6" s="1"/>
  <c r="B371" i="6"/>
  <c r="D371" i="6" s="1"/>
  <c r="C371" i="6"/>
  <c r="E371" i="6" s="1"/>
  <c r="B372" i="6"/>
  <c r="D372" i="6" s="1"/>
  <c r="C372" i="6"/>
  <c r="E372" i="6" s="1"/>
  <c r="B373" i="6"/>
  <c r="D373" i="6" s="1"/>
  <c r="C373" i="6"/>
  <c r="E373" i="6" s="1"/>
  <c r="B374" i="6"/>
  <c r="D374" i="6" s="1"/>
  <c r="C374" i="6"/>
  <c r="E374" i="6" s="1"/>
  <c r="B375" i="6"/>
  <c r="D375" i="6" s="1"/>
  <c r="C375" i="6"/>
  <c r="E375" i="6" s="1"/>
  <c r="B376" i="6"/>
  <c r="D376" i="6" s="1"/>
  <c r="C376" i="6"/>
  <c r="E376" i="6" s="1"/>
  <c r="B377" i="6"/>
  <c r="D377" i="6" s="1"/>
  <c r="C377" i="6"/>
  <c r="E377" i="6" s="1"/>
  <c r="B378" i="6"/>
  <c r="D378" i="6" s="1"/>
  <c r="C378" i="6"/>
  <c r="E378" i="6" s="1"/>
  <c r="B379" i="6"/>
  <c r="D379" i="6" s="1"/>
  <c r="C379" i="6"/>
  <c r="E379" i="6" s="1"/>
  <c r="B380" i="6"/>
  <c r="D380" i="6" s="1"/>
  <c r="C380" i="6"/>
  <c r="E380" i="6" s="1"/>
  <c r="B381" i="6"/>
  <c r="D381" i="6" s="1"/>
  <c r="C381" i="6"/>
  <c r="E381" i="6" s="1"/>
  <c r="B382" i="6"/>
  <c r="D382" i="6" s="1"/>
  <c r="C382" i="6"/>
  <c r="E382" i="6" s="1"/>
  <c r="B383" i="6"/>
  <c r="D383" i="6" s="1"/>
  <c r="C383" i="6"/>
  <c r="E383" i="6" s="1"/>
  <c r="B384" i="6"/>
  <c r="D384" i="6" s="1"/>
  <c r="C384" i="6"/>
  <c r="E384" i="6" s="1"/>
  <c r="B385" i="6"/>
  <c r="D385" i="6" s="1"/>
  <c r="C385" i="6"/>
  <c r="E385" i="6" s="1"/>
  <c r="B386" i="6"/>
  <c r="D386" i="6" s="1"/>
  <c r="C386" i="6"/>
  <c r="E386" i="6" s="1"/>
  <c r="B387" i="6"/>
  <c r="D387" i="6" s="1"/>
  <c r="C387" i="6"/>
  <c r="E387" i="6" s="1"/>
  <c r="B388" i="6"/>
  <c r="D388" i="6" s="1"/>
  <c r="C388" i="6"/>
  <c r="E388" i="6" s="1"/>
  <c r="B389" i="6"/>
  <c r="D389" i="6" s="1"/>
  <c r="C389" i="6"/>
  <c r="E389" i="6" s="1"/>
  <c r="B390" i="6"/>
  <c r="D390" i="6" s="1"/>
  <c r="C390" i="6"/>
  <c r="E390" i="6" s="1"/>
  <c r="B391" i="6"/>
  <c r="D391" i="6" s="1"/>
  <c r="C391" i="6"/>
  <c r="E391" i="6" s="1"/>
  <c r="B392" i="6"/>
  <c r="D392" i="6" s="1"/>
  <c r="C392" i="6"/>
  <c r="E392" i="6" s="1"/>
  <c r="B393" i="6"/>
  <c r="D393" i="6" s="1"/>
  <c r="C393" i="6"/>
  <c r="E393" i="6" s="1"/>
  <c r="B394" i="6"/>
  <c r="D394" i="6" s="1"/>
  <c r="C394" i="6"/>
  <c r="E394" i="6" s="1"/>
  <c r="B395" i="6"/>
  <c r="D395" i="6" s="1"/>
  <c r="C395" i="6"/>
  <c r="E395" i="6" s="1"/>
  <c r="B396" i="6"/>
  <c r="D396" i="6" s="1"/>
  <c r="C396" i="6"/>
  <c r="E396" i="6" s="1"/>
  <c r="B397" i="6"/>
  <c r="D397" i="6" s="1"/>
  <c r="C397" i="6"/>
  <c r="E397" i="6" s="1"/>
  <c r="B398" i="6"/>
  <c r="D398" i="6" s="1"/>
  <c r="C398" i="6"/>
  <c r="E398" i="6" s="1"/>
  <c r="B399" i="6"/>
  <c r="D399" i="6" s="1"/>
  <c r="C399" i="6"/>
  <c r="E399" i="6" s="1"/>
  <c r="B400" i="6"/>
  <c r="D400" i="6" s="1"/>
  <c r="C400" i="6"/>
  <c r="E400" i="6" s="1"/>
  <c r="B401" i="6"/>
  <c r="D401" i="6" s="1"/>
  <c r="C401" i="6"/>
  <c r="E401" i="6" s="1"/>
  <c r="B402" i="6"/>
  <c r="D402" i="6" s="1"/>
  <c r="C402" i="6"/>
  <c r="E402" i="6" s="1"/>
  <c r="B403" i="6"/>
  <c r="D403" i="6" s="1"/>
  <c r="C403" i="6"/>
  <c r="E403" i="6" s="1"/>
  <c r="B404" i="6"/>
  <c r="D404" i="6" s="1"/>
  <c r="C404" i="6"/>
  <c r="E404" i="6" s="1"/>
  <c r="B405" i="6"/>
  <c r="D405" i="6" s="1"/>
  <c r="C405" i="6"/>
  <c r="E405" i="6" s="1"/>
  <c r="B406" i="6"/>
  <c r="D406" i="6" s="1"/>
  <c r="C406" i="6"/>
  <c r="E406" i="6" s="1"/>
  <c r="B407" i="6"/>
  <c r="D407" i="6" s="1"/>
  <c r="C407" i="6"/>
  <c r="E407" i="6" s="1"/>
  <c r="B408" i="6"/>
  <c r="D408" i="6" s="1"/>
  <c r="C408" i="6"/>
  <c r="E408" i="6" s="1"/>
  <c r="B409" i="6"/>
  <c r="D409" i="6" s="1"/>
  <c r="C409" i="6"/>
  <c r="E409" i="6" s="1"/>
  <c r="B410" i="6"/>
  <c r="D410" i="6" s="1"/>
  <c r="C410" i="6"/>
  <c r="E410" i="6" s="1"/>
  <c r="B411" i="6"/>
  <c r="D411" i="6" s="1"/>
  <c r="C411" i="6"/>
  <c r="E411" i="6" s="1"/>
  <c r="B412" i="6"/>
  <c r="D412" i="6" s="1"/>
  <c r="C412" i="6"/>
  <c r="E412" i="6" s="1"/>
  <c r="B413" i="6"/>
  <c r="D413" i="6" s="1"/>
  <c r="C413" i="6"/>
  <c r="E413" i="6" s="1"/>
  <c r="B414" i="6"/>
  <c r="D414" i="6" s="1"/>
  <c r="C414" i="6"/>
  <c r="E414" i="6" s="1"/>
  <c r="B415" i="6"/>
  <c r="D415" i="6" s="1"/>
  <c r="C415" i="6"/>
  <c r="E415" i="6" s="1"/>
  <c r="B416" i="6"/>
  <c r="D416" i="6" s="1"/>
  <c r="C416" i="6"/>
  <c r="E416" i="6" s="1"/>
  <c r="B417" i="6"/>
  <c r="D417" i="6" s="1"/>
  <c r="C417" i="6"/>
  <c r="E417" i="6" s="1"/>
  <c r="B418" i="6"/>
  <c r="D418" i="6" s="1"/>
  <c r="C418" i="6"/>
  <c r="E418" i="6" s="1"/>
  <c r="B419" i="6"/>
  <c r="D419" i="6" s="1"/>
  <c r="C419" i="6"/>
  <c r="E419" i="6" s="1"/>
  <c r="B420" i="6"/>
  <c r="D420" i="6" s="1"/>
  <c r="C420" i="6"/>
  <c r="E420" i="6" s="1"/>
  <c r="B421" i="6"/>
  <c r="D421" i="6" s="1"/>
  <c r="C421" i="6"/>
  <c r="E421" i="6" s="1"/>
  <c r="B422" i="6"/>
  <c r="D422" i="6" s="1"/>
  <c r="C422" i="6"/>
  <c r="E422" i="6" s="1"/>
  <c r="B423" i="6"/>
  <c r="D423" i="6" s="1"/>
  <c r="C423" i="6"/>
  <c r="E423" i="6" s="1"/>
  <c r="B424" i="6"/>
  <c r="D424" i="6" s="1"/>
  <c r="C424" i="6"/>
  <c r="E424" i="6" s="1"/>
  <c r="B425" i="6"/>
  <c r="D425" i="6" s="1"/>
  <c r="C425" i="6"/>
  <c r="E425" i="6" s="1"/>
  <c r="B426" i="6"/>
  <c r="D426" i="6" s="1"/>
  <c r="C426" i="6"/>
  <c r="E426" i="6" s="1"/>
  <c r="B427" i="6"/>
  <c r="D427" i="6" s="1"/>
  <c r="C427" i="6"/>
  <c r="E427" i="6" s="1"/>
  <c r="B428" i="6"/>
  <c r="D428" i="6" s="1"/>
  <c r="C428" i="6"/>
  <c r="E428" i="6" s="1"/>
  <c r="B429" i="6"/>
  <c r="D429" i="6" s="1"/>
  <c r="C429" i="6"/>
  <c r="E429" i="6" s="1"/>
  <c r="B430" i="6"/>
  <c r="D430" i="6" s="1"/>
  <c r="C430" i="6"/>
  <c r="E430" i="6" s="1"/>
  <c r="B431" i="6"/>
  <c r="D431" i="6" s="1"/>
  <c r="C431" i="6"/>
  <c r="E431" i="6" s="1"/>
  <c r="B432" i="6"/>
  <c r="D432" i="6" s="1"/>
  <c r="C432" i="6"/>
  <c r="E432" i="6" s="1"/>
  <c r="B433" i="6"/>
  <c r="D433" i="6" s="1"/>
  <c r="C433" i="6"/>
  <c r="E433" i="6" s="1"/>
  <c r="B434" i="6"/>
  <c r="D434" i="6" s="1"/>
  <c r="C434" i="6"/>
  <c r="E434" i="6" s="1"/>
  <c r="B435" i="6"/>
  <c r="D435" i="6" s="1"/>
  <c r="C435" i="6"/>
  <c r="E435" i="6" s="1"/>
  <c r="B436" i="6"/>
  <c r="D436" i="6" s="1"/>
  <c r="C436" i="6"/>
  <c r="E436" i="6" s="1"/>
  <c r="B437" i="6"/>
  <c r="D437" i="6" s="1"/>
  <c r="C437" i="6"/>
  <c r="E437" i="6" s="1"/>
  <c r="B438" i="6"/>
  <c r="D438" i="6" s="1"/>
  <c r="C438" i="6"/>
  <c r="E438" i="6" s="1"/>
  <c r="B439" i="6"/>
  <c r="D439" i="6" s="1"/>
  <c r="C439" i="6"/>
  <c r="E439" i="6" s="1"/>
  <c r="B440" i="6"/>
  <c r="D440" i="6" s="1"/>
  <c r="C440" i="6"/>
  <c r="E440" i="6" s="1"/>
  <c r="B441" i="6"/>
  <c r="D441" i="6" s="1"/>
  <c r="C441" i="6"/>
  <c r="E441" i="6" s="1"/>
  <c r="B442" i="6"/>
  <c r="D442" i="6" s="1"/>
  <c r="C442" i="6"/>
  <c r="E442" i="6" s="1"/>
  <c r="C2" i="6"/>
  <c r="E2" i="6" s="1"/>
  <c r="B2" i="6"/>
  <c r="D2" i="6" s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3" i="5"/>
  <c r="B2" i="5"/>
  <c r="B64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2" i="3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2" i="4"/>
</calcChain>
</file>

<file path=xl/sharedStrings.xml><?xml version="1.0" encoding="utf-8"?>
<sst xmlns="http://schemas.openxmlformats.org/spreadsheetml/2006/main" count="1137" uniqueCount="925">
  <si>
    <t>Room ID</t>
  </si>
  <si>
    <t>Description</t>
  </si>
  <si>
    <t>N</t>
  </si>
  <si>
    <t>S</t>
  </si>
  <si>
    <t>E</t>
  </si>
  <si>
    <t>W</t>
  </si>
  <si>
    <t>U</t>
  </si>
  <si>
    <t>D</t>
  </si>
  <si>
    <t>Objects</t>
  </si>
  <si>
    <t>I'm in an Ultramodern City</t>
  </si>
  <si>
    <t>I'm in a Long Metal Tunnel</t>
  </si>
  <si>
    <t>I'm on a Metal Paved Street</t>
  </si>
  <si>
    <t>I'm in a Laboratory</t>
  </si>
  <si>
    <t>I'm on a Metal Road</t>
  </si>
  <si>
    <t>I'm in a Repository</t>
  </si>
  <si>
    <t>I'm on an Escalator</t>
  </si>
  <si>
    <t>I'm at the Transportation Center</t>
  </si>
  <si>
    <t>I'm on a Monorail</t>
  </si>
  <si>
    <t>I'm in a Subterranean Shaft</t>
  </si>
  <si>
    <t>I'm in a Small Grotto</t>
  </si>
  <si>
    <t>I'm at a Dead End</t>
  </si>
  <si>
    <t>I'm in a Control Center</t>
  </si>
  <si>
    <t>I'm in an Underground Building</t>
  </si>
  <si>
    <t>I'm in a Small Lead Room</t>
  </si>
  <si>
    <t>I'm on a Metal Platform</t>
  </si>
  <si>
    <t>I'm in a Small Metal Room</t>
  </si>
  <si>
    <t>I'm in a Hallway</t>
  </si>
  <si>
    <t>I'm in a Storeroom</t>
  </si>
  <si>
    <t>I'm in a Steel Chamber</t>
  </si>
  <si>
    <t>I'm in a Long Corridor</t>
  </si>
  <si>
    <t>I'm in a Small Room</t>
  </si>
  <si>
    <t>I'm in a Robot Assembly Room</t>
  </si>
  <si>
    <t>I'm in a Deserted Reactor</t>
  </si>
  <si>
    <t>I'm in a Decaying Field</t>
  </si>
  <si>
    <t>&lt;no description&gt;</t>
  </si>
  <si>
    <t>I'm in a Small White Room</t>
  </si>
  <si>
    <t>I'm at a Security Control Station</t>
  </si>
  <si>
    <t>I'm on a Forlorn Road</t>
  </si>
  <si>
    <t>I'm at a Security Outpost</t>
  </si>
  <si>
    <t>I'm at the Outskirts of the City</t>
  </si>
  <si>
    <t>I'm on a Dirt Path</t>
  </si>
  <si>
    <t>I'm at a Construction Site</t>
  </si>
  <si>
    <t>I'm in a Metal Corridor</t>
  </si>
  <si>
    <t>I'm in a Force Field</t>
  </si>
  <si>
    <t>I'm in a Hangar</t>
  </si>
  <si>
    <t>I'm in a Narrow Passage</t>
  </si>
  <si>
    <t>I'm at the Launch Control Station</t>
  </si>
  <si>
    <t>I'm in a Space Ship</t>
  </si>
  <si>
    <t>I'm in a Narrow Vent</t>
  </si>
  <si>
    <t>I'm at the Outskirts of a City</t>
  </si>
  <si>
    <t>Picture ID</t>
  </si>
  <si>
    <t>Strange Lake</t>
  </si>
  <si>
    <t>Long Bridge</t>
  </si>
  <si>
    <t>Sign</t>
  </si>
  <si>
    <t>Small Speaker</t>
  </si>
  <si>
    <t>Huge Door</t>
  </si>
  <si>
    <t>ID</t>
  </si>
  <si>
    <t>Text</t>
  </si>
  <si>
    <t>\WELCOME to "FUTURIA"|a Macintosh Adventure|by William Demas||Dedicated to All Mac|Owners Everywhere...|</t>
  </si>
  <si>
    <t>\It Says:|Watch for The Next Adventure|"UTOPIA" Coming Soon!||</t>
  </si>
  <si>
    <t>\The Door Slides Open!</t>
  </si>
  <si>
    <t>\My Hand Breaks the Beam and</t>
  </si>
  <si>
    <t>\How?</t>
  </si>
  <si>
    <t>\The Door is Wired!|I'm ELECTROCUTED!!||</t>
  </si>
  <si>
    <t>\Sorry</t>
  </si>
  <si>
    <t>\I Can't.</t>
  </si>
  <si>
    <t>\Laying in a Pool of Oil.</t>
  </si>
  <si>
    <t>\ZAP!</t>
  </si>
  <si>
    <t>\Robot</t>
  </si>
  <si>
    <t>\Won't Let Me.</t>
  </si>
  <si>
    <t>\The Opening Has Been Sealed.</t>
  </si>
  <si>
    <t>\Shoots Me!</t>
  </si>
  <si>
    <t>\Nothing</t>
  </si>
  <si>
    <t>\Happens.</t>
  </si>
  <si>
    <t>\BOOOOOM!</t>
  </si>
  <si>
    <t>\Chemicals EXPLODE!</t>
  </si>
  <si>
    <t>\WIth What?</t>
  </si>
  <si>
    <t xml:space="preserve">\ </t>
  </si>
  <si>
    <t>\It's Glowing</t>
  </si>
  <si>
    <t>\Bright</t>
  </si>
  <si>
    <t>\Light</t>
  </si>
  <si>
    <t>\Pink</t>
  </si>
  <si>
    <t>\Red</t>
  </si>
  <si>
    <t>\I See</t>
  </si>
  <si>
    <t>\Special.</t>
  </si>
  <si>
    <t>\Cube</t>
  </si>
  <si>
    <t>\Begins Whining.</t>
  </si>
  <si>
    <t>\It's Getting Louder!</t>
  </si>
  <si>
    <t>\EXPLODES!</t>
  </si>
  <si>
    <t>\Laser</t>
  </si>
  <si>
    <t>\OUCH!</t>
  </si>
  <si>
    <t>\It Begins to Glow.</t>
  </si>
  <si>
    <t>\Deadly Fumes Fill the Air.</t>
  </si>
  <si>
    <t>\A</t>
  </si>
  <si>
    <t>\Button</t>
  </si>
  <si>
    <t>\Lever</t>
  </si>
  <si>
    <t>\and</t>
  </si>
  <si>
    <t>\Slot</t>
  </si>
  <si>
    <t>\|An Alluring Voice Says:</t>
  </si>
  <si>
    <t>\"PASSWORD PLEASE!"</t>
  </si>
  <si>
    <t>\"INSERT COIN PLEASE!"</t>
  </si>
  <si>
    <t>\It's Rusty.</t>
  </si>
  <si>
    <t>\We're Moving!</t>
  </si>
  <si>
    <t>\We're Heading Underground!|It's Getting Dark!|</t>
  </si>
  <si>
    <t>\We're Above Ground Again.</t>
  </si>
  <si>
    <t>\We've Stopped.</t>
  </si>
  <si>
    <t>\It Says:|Welcome to FUTURIA|The Password is: 3 15 19 13 9 3.|G O O D   L U C K  !!||</t>
  </si>
  <si>
    <t>\-CLICK-</t>
  </si>
  <si>
    <t>\Vaporizes.</t>
  </si>
  <si>
    <t>\The Rod is Getting Dim.</t>
  </si>
  <si>
    <t>\The Power is</t>
  </si>
  <si>
    <t>\On</t>
  </si>
  <si>
    <t>\Off</t>
  </si>
  <si>
    <t>\|Robot Says:</t>
  </si>
  <si>
    <t>\"STOP"</t>
  </si>
  <si>
    <t>\"STOP INTRUDER"</t>
  </si>
  <si>
    <t>\"STOP ALIEN"</t>
  </si>
  <si>
    <t>\"INTRUDER ALERT"</t>
  </si>
  <si>
    <t>\|My Hair is Falling Out!</t>
  </si>
  <si>
    <t>\|I Feel</t>
  </si>
  <si>
    <t>\Strange...</t>
  </si>
  <si>
    <t>\Sick</t>
  </si>
  <si>
    <t>\I Die of Radiation Poisoning.|</t>
  </si>
  <si>
    <t>\Something</t>
  </si>
  <si>
    <t>\I Hear</t>
  </si>
  <si>
    <t>\Bright Flash of Light!</t>
  </si>
  <si>
    <t>\There's a</t>
  </si>
  <si>
    <t>\Yellow</t>
  </si>
  <si>
    <t>\Spot Me and</t>
  </si>
  <si>
    <t>\Key</t>
  </si>
  <si>
    <t>\Card</t>
  </si>
  <si>
    <t>\in it.</t>
  </si>
  <si>
    <t>\Seems to be</t>
  </si>
  <si>
    <t>\I Also See an Empty Slot.</t>
  </si>
  <si>
    <t>\Has a Gun.</t>
  </si>
  <si>
    <t>\and My</t>
  </si>
  <si>
    <t>\My Hand</t>
  </si>
  <si>
    <t>\It Hits the</t>
  </si>
  <si>
    <t>\Vaporize</t>
  </si>
  <si>
    <t>\It Looks Like</t>
  </si>
  <si>
    <t>\Nuclear Reactor.</t>
  </si>
  <si>
    <t>\Deactivated.</t>
  </si>
  <si>
    <t>\They're</t>
  </si>
  <si>
    <t>\Pulls Several Levers</t>
  </si>
  <si>
    <t>\Presses Several Buttons</t>
  </si>
  <si>
    <t>\Disappears.</t>
  </si>
  <si>
    <t>\This Liquid Isn't Water. My|Whole Body Goes Numb and I Drown!||</t>
  </si>
  <si>
    <t>\It's Full of</t>
  </si>
  <si>
    <t>\a Strange Liquid.</t>
  </si>
  <si>
    <t>\OK</t>
  </si>
  <si>
    <t>\Small Knob.</t>
  </si>
  <si>
    <t>\Green</t>
  </si>
  <si>
    <t>\Say Again &amp; Use a|Color or Number Instead.</t>
  </si>
  <si>
    <t>\Where?</t>
  </si>
  <si>
    <t>\Too Heavy.</t>
  </si>
  <si>
    <t>\Won't Budge.</t>
  </si>
  <si>
    <t>\I Walk Out of a Moving Monorail!||</t>
  </si>
  <si>
    <t>\Made of Lead.</t>
  </si>
  <si>
    <t>\A Robot Just Walked in.</t>
  </si>
  <si>
    <t>\Tokens.</t>
  </si>
  <si>
    <t>\1 Token.</t>
  </si>
  <si>
    <t>\With</t>
  </si>
  <si>
    <t>\Holds Me Back.</t>
  </si>
  <si>
    <t>\"DECONTAMINATION COMPLETE"</t>
  </si>
  <si>
    <t>\Follows Me.</t>
  </si>
  <si>
    <t>\on it.</t>
  </si>
  <si>
    <t>\Charges.</t>
  </si>
  <si>
    <t>\Magnetic.</t>
  </si>
  <si>
    <t>\Working on the Structure.</t>
  </si>
  <si>
    <t>\Strange Glowing Stone.</t>
  </si>
  <si>
    <t>\Robots</t>
  </si>
  <si>
    <t>\Attack!</t>
  </si>
  <si>
    <t>\|OH NO!</t>
  </si>
  <si>
    <t>\GOT ONE!</t>
  </si>
  <si>
    <t>\Buttons Marked</t>
  </si>
  <si>
    <t>\1</t>
  </si>
  <si>
    <t>\2</t>
  </si>
  <si>
    <t>\3</t>
  </si>
  <si>
    <t>\There's a Slot With a</t>
  </si>
  <si>
    <t>\It's Empty.</t>
  </si>
  <si>
    <t>\Radioactive Material Causes|a Malfunction! I Materialize|Extremely Malformed!!|</t>
  </si>
  <si>
    <t>\"WARNING"</t>
  </si>
  <si>
    <t>\"RESTRICTED AREA"</t>
  </si>
  <si>
    <t>\Armed.</t>
  </si>
  <si>
    <t>\It's Screwed Shut.</t>
  </si>
  <si>
    <t>\WOOOSH|I'm Sucked Out Into Space!</t>
  </si>
  <si>
    <t>\I Activate Something|Out of Sequence.</t>
  </si>
  <si>
    <t>\Takes Off!  CONGRATULATIONS!!!|YOU'VE DONE IT !!!</t>
  </si>
  <si>
    <t>\Hangar Doors Are</t>
  </si>
  <si>
    <t>\Open</t>
  </si>
  <si>
    <t>\Closed</t>
  </si>
  <si>
    <t>\Outer Space</t>
  </si>
  <si>
    <t>\Space Ship</t>
  </si>
  <si>
    <t>\is</t>
  </si>
  <si>
    <t>\"SHIP READY FOR LAUNCH"</t>
  </si>
  <si>
    <t>\Takes</t>
  </si>
  <si>
    <t>\AW COME ON!|You've Only Just|Started Playing!</t>
  </si>
  <si>
    <t>\"FUTURIA"   VERSION: 3.1||Program: William Demas|Graphics: Craig Sadler||©1985  Unicorn Software Co.|||</t>
  </si>
  <si>
    <t>\See the Enclosed Hint Sheet...|</t>
  </si>
  <si>
    <t>\Don't be Ridiculous...</t>
  </si>
  <si>
    <t>\That's Me!</t>
  </si>
  <si>
    <t>\There is No Score in FUTURIA.|Your Mission: Escape (ALIVE!)|</t>
  </si>
  <si>
    <t>\There is No Magic in FUTURIA.|</t>
  </si>
  <si>
    <t>\.Strange Lake</t>
  </si>
  <si>
    <t>\Sign</t>
  </si>
  <si>
    <t>\Small Speaker</t>
  </si>
  <si>
    <t>\Huge Door</t>
  </si>
  <si>
    <t>\Opening</t>
  </si>
  <si>
    <t>\Cylindrical Building</t>
  </si>
  <si>
    <t>\Thin Beam of Light</t>
  </si>
  <si>
    <t>\Steel Door</t>
  </si>
  <si>
    <t>\Strange Device</t>
  </si>
  <si>
    <t>\Chemicals</t>
  </si>
  <si>
    <t>\Crystalline Cube</t>
  </si>
  <si>
    <t>\Repository</t>
  </si>
  <si>
    <t>\Small Token</t>
  </si>
  <si>
    <t>\Plastic Rod</t>
  </si>
  <si>
    <t>\Beaker</t>
  </si>
  <si>
    <t>\(It's Full of Oil)</t>
  </si>
  <si>
    <t>\Monorail</t>
  </si>
  <si>
    <t>\Glowing Rod</t>
  </si>
  <si>
    <t>\Compartment</t>
  </si>
  <si>
    <t>\Door</t>
  </si>
  <si>
    <t>\Open Door</t>
  </si>
  <si>
    <t>\Plastic Card</t>
  </si>
  <si>
    <t>\Canister</t>
  </si>
  <si>
    <t>\Strange Structure</t>
  </si>
  <si>
    <t>\Numerous Robots</t>
  </si>
  <si>
    <t>\Small Building</t>
  </si>
  <si>
    <t>\Green Key</t>
  </si>
  <si>
    <t>\Laser Pistol</t>
  </si>
  <si>
    <t>\Small Box</t>
  </si>
  <si>
    <t>\Red Button</t>
  </si>
  <si>
    <t>\Reactor</t>
  </si>
  <si>
    <t>\Transuranic Waste</t>
  </si>
  <si>
    <t>\Red Key</t>
  </si>
  <si>
    <t>\Control Panel</t>
  </si>
  <si>
    <t>\Small Tokens</t>
  </si>
  <si>
    <t>\Lead Room</t>
  </si>
  <si>
    <t>\Metal Platform</t>
  </si>
  <si>
    <t>\Screwdriver</t>
  </si>
  <si>
    <t>\Robot Parts</t>
  </si>
  <si>
    <t>\Small Cartridge</t>
  </si>
  <si>
    <t>\Keyhole</t>
  </si>
  <si>
    <t>\Vent</t>
  </si>
  <si>
    <t>\Open Vent</t>
  </si>
  <si>
    <t>\Key in Keyhole</t>
  </si>
  <si>
    <t>\Yellow Key</t>
  </si>
  <si>
    <t>\Many Colored Bottons &amp; Levers</t>
  </si>
  <si>
    <t>\Force Field</t>
  </si>
  <si>
    <t>\Hangar Doors</t>
  </si>
  <si>
    <t>\Escalator</t>
  </si>
  <si>
    <t>\Remote Control Unit</t>
  </si>
  <si>
    <t>\Window</t>
  </si>
  <si>
    <t>\Glass Window</t>
  </si>
  <si>
    <t>\Atomic Waste</t>
  </si>
  <si>
    <t>\Open Canister</t>
  </si>
  <si>
    <t>\Glowing Stone</t>
  </si>
  <si>
    <t>\Green Button</t>
  </si>
  <si>
    <t>\Strange Lake</t>
  </si>
  <si>
    <t>\Long Bridge</t>
  </si>
  <si>
    <t>ANY*</t>
  </si>
  <si>
    <t>NORT*</t>
  </si>
  <si>
    <t>SOUT*</t>
  </si>
  <si>
    <t>EAST*</t>
  </si>
  <si>
    <t>WEST*</t>
  </si>
  <si>
    <t>UP*</t>
  </si>
  <si>
    <t>DOWN*</t>
  </si>
  <si>
    <t>DOOR*</t>
  </si>
  <si>
    <t>INVE*</t>
  </si>
  <si>
    <t>OPEN/HOLE*</t>
  </si>
  <si>
    <t>BUIL*</t>
  </si>
  <si>
    <t>LIGH/BEAM*</t>
  </si>
  <si>
    <t>TUNN*</t>
  </si>
  <si>
    <t>ROBO*</t>
  </si>
  <si>
    <t>DEVI*</t>
  </si>
  <si>
    <t>CHEM*</t>
  </si>
  <si>
    <t>BEAK*</t>
  </si>
  <si>
    <t>REPO*</t>
  </si>
  <si>
    <t>ROD/PLAS*</t>
  </si>
  <si>
    <t>TOKE/COIN*</t>
  </si>
  <si>
    <t>CRYS/CUBE*</t>
  </si>
  <si>
    <t>BUTT*</t>
  </si>
  <si>
    <t>GROU/FLOO*</t>
  </si>
  <si>
    <t>OIL*</t>
  </si>
  <si>
    <t>MONO*</t>
  </si>
  <si>
    <t>LEVE*</t>
  </si>
  <si>
    <t>SLOT/KEYH*</t>
  </si>
  <si>
    <t>CARD*</t>
  </si>
  <si>
    <t>CANI*</t>
  </si>
  <si>
    <t>STON*</t>
  </si>
  <si>
    <t>STRU/REAC*</t>
  </si>
  <si>
    <t>KEY*</t>
  </si>
  <si>
    <t>LASE/PIST*</t>
  </si>
  <si>
    <t>BOX*</t>
  </si>
  <si>
    <t>WAST*</t>
  </si>
  <si>
    <t>1*</t>
  </si>
  <si>
    <t>2*</t>
  </si>
  <si>
    <t>3*</t>
  </si>
  <si>
    <t>GREE*</t>
  </si>
  <si>
    <t>RED*</t>
  </si>
  <si>
    <t>YELL*</t>
  </si>
  <si>
    <t>PLAT*</t>
  </si>
  <si>
    <t>SCRE*</t>
  </si>
  <si>
    <t>VENT*</t>
  </si>
  <si>
    <t>CART*</t>
  </si>
  <si>
    <t>FORC/FIEL*</t>
  </si>
  <si>
    <t>WIND*</t>
  </si>
  <si>
    <t>PANE/CONT*</t>
  </si>
  <si>
    <t>SIGN*</t>
  </si>
  <si>
    <t>LAKE/WATE*</t>
  </si>
  <si>
    <t>SPEA*</t>
  </si>
  <si>
    <t>GAME*</t>
  </si>
  <si>
    <t>PART*</t>
  </si>
  <si>
    <t>COSMIC*</t>
  </si>
  <si>
    <t>KNOB*</t>
  </si>
  <si>
    <t>ROOM*</t>
  </si>
  <si>
    <t>COMP*</t>
  </si>
  <si>
    <t>SHIP*</t>
  </si>
  <si>
    <t>YOU*</t>
  </si>
  <si>
    <t>ME/MYSE*</t>
  </si>
  <si>
    <t>BRID*</t>
  </si>
  <si>
    <t>CITY*</t>
  </si>
  <si>
    <t>DROP/PUT*</t>
  </si>
  <si>
    <t>GO/WALK/RIDE/STEP/ENTE/EXIT/RUN/CROS/SWIM/JUMP*</t>
  </si>
  <si>
    <t>TOUC/FEEL*</t>
  </si>
  <si>
    <t>KILL/DEST/WREC/RUIN/SMAS/BREA/ATTA*</t>
  </si>
  <si>
    <t>EXAM/LOOK/INSP/SEAR/VIEW/SEE/READ*</t>
  </si>
  <si>
    <t>MIX/BLEN/STIR*</t>
  </si>
  <si>
    <t>FILL*</t>
  </si>
  <si>
    <t>USE/WITH*</t>
  </si>
  <si>
    <t>BEND/FLEX/TWIS*</t>
  </si>
  <si>
    <t>PUSH/PRES/SHOV*</t>
  </si>
  <si>
    <t>PULL*</t>
  </si>
  <si>
    <t>QUIT*</t>
  </si>
  <si>
    <t>HELP/HINT*</t>
  </si>
  <si>
    <t>SAVE*</t>
  </si>
  <si>
    <t>INSE*</t>
  </si>
  <si>
    <t>SHOO/BLAS*</t>
  </si>
  <si>
    <t>TURN*</t>
  </si>
  <si>
    <t>OPEN/UNLO/UNCO*</t>
  </si>
  <si>
    <t>CLOS/SHUT/SEAL/COVE*</t>
  </si>
  <si>
    <t>SAY/SCRE/HOLL/YELL*</t>
  </si>
  <si>
    <t>OIL/LUBR*</t>
  </si>
  <si>
    <t>EMPT*</t>
  </si>
  <si>
    <t>POUR/SPIL*</t>
  </si>
  <si>
    <t>CRAW*</t>
  </si>
  <si>
    <t>UNSC/REMO*</t>
  </si>
  <si>
    <t>AT/ON*</t>
  </si>
  <si>
    <t>IN*</t>
  </si>
  <si>
    <t>@@*</t>
  </si>
  <si>
    <t>THRO/TOSS/HEAV*</t>
  </si>
  <si>
    <t>DRIN/SWAL*</t>
  </si>
  <si>
    <t>EAT/TAST/SMEL*</t>
  </si>
  <si>
    <t>COUN*</t>
  </si>
  <si>
    <t>WAIT*</t>
  </si>
  <si>
    <t>LOAD*</t>
  </si>
  <si>
    <t>SHIT/FUCK/DAMN/PISS/ASS/BAST*</t>
  </si>
  <si>
    <t>VERSION*</t>
  </si>
  <si>
    <t>MAC*</t>
  </si>
  <si>
    <t>SCOR*</t>
  </si>
  <si>
    <t>MAGIC</t>
  </si>
  <si>
    <t>Messages</t>
  </si>
  <si>
    <t>I Can't See Anything. It's Too DARK!</t>
  </si>
  <si>
    <t xml:space="preserve">Exits:  </t>
  </si>
  <si>
    <t>I See No Obvious Exits.</t>
  </si>
  <si>
    <t>(I Don't See Anything)</t>
  </si>
  <si>
    <t>Things That I See:</t>
  </si>
  <si>
    <t>I Don't Know the (Huh?)|Noun|"Verb|"</t>
  </si>
  <si>
    <t>|I'm Carrying:|</t>
  </si>
  <si>
    <t>|I'm Dead!|</t>
  </si>
  <si>
    <t>|I Beg Your Pardon ?</t>
  </si>
  <si>
    <t>I Don't See it Here...</t>
  </si>
  <si>
    <t>I Already Have it!|"TAKE INVENTORY"</t>
  </si>
  <si>
    <t>I'm Carrying Too Much!|Drop Something First!!!</t>
  </si>
  <si>
    <t>I Can't Do That Yet!</t>
  </si>
  <si>
    <t>I Need a Direction Too!</t>
  </si>
  <si>
    <t>I Can't Go That Way!</t>
  </si>
  <si>
    <t>Moving in the Dark is DANGEROUS!</t>
  </si>
  <si>
    <t>SPLAT!  I Fell Flat On My Face!!</t>
  </si>
  <si>
    <t>||Stumbling Around in the Dark is|Pointless. I Quit.|</t>
  </si>
  <si>
    <t>I Don't Understand That!</t>
  </si>
  <si>
    <t>I'm Emptyhanded.</t>
  </si>
  <si>
    <t>I'm Not Carrying it!|"TAKE INVENTORY"</t>
  </si>
  <si>
    <t>How Can I Drop Something|That's Right in Front of Me?</t>
  </si>
  <si>
    <t>OK</t>
  </si>
  <si>
    <t>I'm Not Capable of Doing That.</t>
  </si>
  <si>
    <t>&gt; LOAD GAME|</t>
  </si>
  <si>
    <t>&gt; SAVE GAME|</t>
  </si>
  <si>
    <t>&gt; QUIT|</t>
  </si>
  <si>
    <t>&gt; GO NORTH|</t>
  </si>
  <si>
    <t>&gt; GO SOUTH|</t>
  </si>
  <si>
    <t>&gt; GO EAST|</t>
  </si>
  <si>
    <t>&gt; GO WEST|</t>
  </si>
  <si>
    <t>&gt; GO UP|</t>
  </si>
  <si>
    <t>&gt; GO DOWN|</t>
  </si>
  <si>
    <t>&gt; HINT|</t>
  </si>
  <si>
    <t>&gt; TAKE INVENTORY|</t>
  </si>
  <si>
    <t>Game Saved.|</t>
  </si>
  <si>
    <t>Disk Full!|Save Failed.|</t>
  </si>
  <si>
    <t>Directory Full!|Save Failed.|</t>
  </si>
  <si>
    <t>Aborted|</t>
  </si>
  <si>
    <t>FUTURIA Save Game Filename:</t>
  </si>
  <si>
    <t>Saved Game</t>
  </si>
  <si>
    <t>A</t>
  </si>
  <si>
    <t>B</t>
  </si>
  <si>
    <t>C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</si>
  <si>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</si>
  <si>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</si>
  <si>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</si>
  <si>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</si>
  <si>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</si>
  <si>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</si>
  <si>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</si>
  <si>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</si>
  <si>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</si>
  <si>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</si>
  <si>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</si>
  <si>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R</t>
  </si>
  <si>
    <t>T</t>
  </si>
  <si>
    <t>V</t>
  </si>
  <si>
    <t>X</t>
  </si>
  <si>
    <t>Y</t>
  </si>
  <si>
    <t>Z</t>
  </si>
  <si>
    <t>COSMIC</t>
  </si>
  <si>
    <t>ESCA</t>
  </si>
  <si>
    <t>GET/TAKE/GRAB/HOLD/CARR/FETC*</t>
  </si>
  <si>
    <t>VERBS</t>
  </si>
  <si>
    <t>NOUNS</t>
  </si>
  <si>
    <t>$01</t>
  </si>
  <si>
    <t>$00</t>
  </si>
  <si>
    <t>$06</t>
  </si>
  <si>
    <t>$07</t>
  </si>
  <si>
    <t>$08</t>
  </si>
  <si>
    <t>$0D</t>
  </si>
  <si>
    <t>$0A</t>
  </si>
  <si>
    <t>$0B</t>
  </si>
  <si>
    <t>$1E</t>
  </si>
  <si>
    <t>$25</t>
  </si>
  <si>
    <t>$2D</t>
  </si>
  <si>
    <t>$2E</t>
  </si>
  <si>
    <t>$2C</t>
  </si>
  <si>
    <t>$2F</t>
  </si>
  <si>
    <t>$2B</t>
  </si>
  <si>
    <t>$26</t>
  </si>
  <si>
    <t>$23</t>
  </si>
  <si>
    <t>$21</t>
  </si>
  <si>
    <t>$37</t>
  </si>
  <si>
    <t>$20</t>
  </si>
  <si>
    <t>$0E</t>
  </si>
  <si>
    <t>$10</t>
  </si>
  <si>
    <t>$11</t>
  </si>
  <si>
    <t>$14</t>
  </si>
  <si>
    <t>$17</t>
  </si>
  <si>
    <t>$1A</t>
  </si>
  <si>
    <t>$16</t>
  </si>
  <si>
    <t>$28</t>
  </si>
  <si>
    <t>$34</t>
  </si>
  <si>
    <t>$35</t>
  </si>
  <si>
    <t>$36</t>
  </si>
  <si>
    <t>$39</t>
  </si>
  <si>
    <t>$1B</t>
  </si>
  <si>
    <t>$3B</t>
  </si>
  <si>
    <t>$3D</t>
  </si>
  <si>
    <t>$3C</t>
  </si>
  <si>
    <t>$31</t>
  </si>
  <si>
    <t>$05</t>
  </si>
  <si>
    <t>$27</t>
  </si>
  <si>
    <t>$24</t>
  </si>
  <si>
    <t>$0F</t>
  </si>
  <si>
    <t>$18</t>
  </si>
  <si>
    <t>$32</t>
  </si>
  <si>
    <t>$33</t>
  </si>
  <si>
    <t>$3A</t>
  </si>
  <si>
    <t>$19</t>
  </si>
  <si>
    <t>$13</t>
  </si>
  <si>
    <t>$3E</t>
  </si>
  <si>
    <t>$1D</t>
  </si>
  <si>
    <t>$30</t>
  </si>
  <si>
    <t>$42</t>
  </si>
  <si>
    <t>Verb</t>
  </si>
  <si>
    <t>Noun</t>
  </si>
  <si>
    <t>Verb index</t>
  </si>
  <si>
    <t>Noun index</t>
  </si>
  <si>
    <t>010F0909A010</t>
  </si>
  <si>
    <t>0110090AA010</t>
  </si>
  <si>
    <t>0114090DA010</t>
  </si>
  <si>
    <t>0113090EA010</t>
  </si>
  <si>
    <t>01130912A010</t>
  </si>
  <si>
    <t>011D0918A010</t>
  </si>
  <si>
    <t>0127091CA010</t>
  </si>
  <si>
    <t>0121091DA010</t>
  </si>
  <si>
    <t>01280922A010</t>
  </si>
  <si>
    <t>01140926A010</t>
  </si>
  <si>
    <t>012D092CA010</t>
  </si>
  <si>
    <t>01290933A010</t>
  </si>
  <si>
    <t>0130093BA010</t>
  </si>
  <si>
    <t>011D0942A010</t>
  </si>
  <si>
    <t>0113095EA010</t>
  </si>
  <si>
    <t>0120A00F6AB0</t>
  </si>
  <si>
    <t>0220A00F6AB0</t>
  </si>
  <si>
    <t>020FA01109B0</t>
  </si>
  <si>
    <t>0210A0110AB0</t>
  </si>
  <si>
    <t>0214050DA011</t>
  </si>
  <si>
    <t>0213050EA011</t>
  </si>
  <si>
    <t>02130512A011</t>
  </si>
  <si>
    <t>021D0518A011</t>
  </si>
  <si>
    <t>0227A0111CB0</t>
  </si>
  <si>
    <t>0221A0111DB0</t>
  </si>
  <si>
    <t>0222A0111EB0</t>
  </si>
  <si>
    <t>0228A01122B0</t>
  </si>
  <si>
    <t>02140526A011</t>
  </si>
  <si>
    <t>022BA01129B0</t>
  </si>
  <si>
    <t>022DA0112CB0</t>
  </si>
  <si>
    <t>0229A01133B0</t>
  </si>
  <si>
    <t>0230A0113BB0</t>
  </si>
  <si>
    <t>021D0542A011</t>
  </si>
  <si>
    <t>0213055EA011</t>
  </si>
  <si>
    <t>0308073D0916</t>
  </si>
  <si>
    <t>030A09050F00</t>
  </si>
  <si>
    <t>03080904A00F</t>
  </si>
  <si>
    <t>03320701A00F</t>
  </si>
  <si>
    <t>01330701A00F</t>
  </si>
  <si>
    <t>13080701A00F</t>
  </si>
  <si>
    <t>06320701A00F</t>
  </si>
  <si>
    <t>030A09050704</t>
  </si>
  <si>
    <t>060E07060923</t>
  </si>
  <si>
    <t>040C07060A16</t>
  </si>
  <si>
    <t>030B0706A00F</t>
  </si>
  <si>
    <t>060C0907A00F</t>
  </si>
  <si>
    <t>010E09230706</t>
  </si>
  <si>
    <t>050E09230706</t>
  </si>
  <si>
    <t>03080705A00F</t>
  </si>
  <si>
    <t>040C07070A16</t>
  </si>
  <si>
    <t>07100B0AA00F</t>
  </si>
  <si>
    <t>13080705A00F</t>
  </si>
  <si>
    <t>13080908A00F</t>
  </si>
  <si>
    <t>13080948A00F</t>
  </si>
  <si>
    <t>060C0947A00F</t>
  </si>
  <si>
    <t>040C070A0A49</t>
  </si>
  <si>
    <t>040C070B0A49</t>
  </si>
  <si>
    <t>03080948A00F</t>
  </si>
  <si>
    <t>0308070A0949</t>
  </si>
  <si>
    <t>0308070B0949</t>
  </si>
  <si>
    <t>0312070AA00F</t>
  </si>
  <si>
    <t>0A13050EA00F</t>
  </si>
  <si>
    <t>0513050EA00F</t>
  </si>
  <si>
    <t>0A13090EA00F</t>
  </si>
  <si>
    <t>0513090EA00F</t>
  </si>
  <si>
    <t>05130512A00F</t>
  </si>
  <si>
    <t>05130912A00F</t>
  </si>
  <si>
    <t>0A130512A00F</t>
  </si>
  <si>
    <t>0115090BA010</t>
  </si>
  <si>
    <t>06150B0BA00F</t>
  </si>
  <si>
    <t>04080908A016</t>
  </si>
  <si>
    <t>04080941A016</t>
  </si>
  <si>
    <t>04080948A016</t>
  </si>
  <si>
    <t>0408094BA016</t>
  </si>
  <si>
    <t>0408094FA016</t>
  </si>
  <si>
    <t>04080901A016</t>
  </si>
  <si>
    <t>04080954A016</t>
  </si>
  <si>
    <t>04080957A016</t>
  </si>
  <si>
    <t>04080959A016</t>
  </si>
  <si>
    <t>0408095CA016</t>
  </si>
  <si>
    <t>0A13055EA00F</t>
  </si>
  <si>
    <t>0513055EA00F</t>
  </si>
  <si>
    <t>0A13095EA00F</t>
  </si>
  <si>
    <t>0513095EA00F</t>
  </si>
  <si>
    <t>0B16A00F6AB0</t>
  </si>
  <si>
    <t>0B280B0B1006</t>
  </si>
  <si>
    <t>1F15050BA00F</t>
  </si>
  <si>
    <t>0215050B0E06</t>
  </si>
  <si>
    <t>0215050BA011</t>
  </si>
  <si>
    <t>1C17050B0F06</t>
  </si>
  <si>
    <t>1C0E050B0F06</t>
  </si>
  <si>
    <t>1C01050B0F06</t>
  </si>
  <si>
    <t>1C17050BA011</t>
  </si>
  <si>
    <t>1C0E050BA011</t>
  </si>
  <si>
    <t>1C01050BA011</t>
  </si>
  <si>
    <t>0109A004B0</t>
  </si>
  <si>
    <t>1B01A004B0</t>
  </si>
  <si>
    <t>060E0706092B</t>
  </si>
  <si>
    <t>06350706092B</t>
  </si>
  <si>
    <t>20180706092B</t>
  </si>
  <si>
    <t>20180910A00F</t>
  </si>
  <si>
    <t>2018A00F07B0</t>
  </si>
  <si>
    <t>01180706092B</t>
  </si>
  <si>
    <t>08110706092B</t>
  </si>
  <si>
    <t>21100B0AA00F</t>
  </si>
  <si>
    <t>0630070EA00F</t>
  </si>
  <si>
    <t>01350706092B</t>
  </si>
  <si>
    <t>0B27070E095F</t>
  </si>
  <si>
    <t>0B1A070E100A</t>
  </si>
  <si>
    <t>0C1A070E100A</t>
  </si>
  <si>
    <t>10140B0D070E</t>
  </si>
  <si>
    <t>0B27070E0915</t>
  </si>
  <si>
    <t>061A070E100A</t>
  </si>
  <si>
    <t>161A070E0B10</t>
  </si>
  <si>
    <t>0211050F0510</t>
  </si>
  <si>
    <t>0211050FA011</t>
  </si>
  <si>
    <t>0B1A070E100F</t>
  </si>
  <si>
    <t>0C1A070E100F</t>
  </si>
  <si>
    <t>0B1A070E0F0B</t>
  </si>
  <si>
    <t>0C1A070E0F0B</t>
  </si>
  <si>
    <t>0308070E095F</t>
  </si>
  <si>
    <t>0B1A070E0F0E</t>
  </si>
  <si>
    <t>0B1A070E0F0C</t>
  </si>
  <si>
    <t>0B1A070E0F0D</t>
  </si>
  <si>
    <t>0C1A070E0F0E</t>
  </si>
  <si>
    <t>0C1A070E0F0D</t>
  </si>
  <si>
    <t>0C1A070E0F0C</t>
  </si>
  <si>
    <t>03190911A012</t>
  </si>
  <si>
    <t>10140B26070E</t>
  </si>
  <si>
    <t>17110B10A00F</t>
  </si>
  <si>
    <t>18180B10A00F</t>
  </si>
  <si>
    <t>063007100D22</t>
  </si>
  <si>
    <t>0308070F1010</t>
  </si>
  <si>
    <t>1308070F1010</t>
  </si>
  <si>
    <t>22140B26A00F</t>
  </si>
  <si>
    <t>22140B0DA00F</t>
  </si>
  <si>
    <t>1020A00F6AB0</t>
  </si>
  <si>
    <t>102807100B22</t>
  </si>
  <si>
    <t>122807100D22</t>
  </si>
  <si>
    <t>0B2907100D22</t>
  </si>
  <si>
    <t>102707100B1C</t>
  </si>
  <si>
    <t>06300710A00F</t>
  </si>
  <si>
    <t>1220A00F6AB0</t>
  </si>
  <si>
    <t>1A20A00F6AB0</t>
  </si>
  <si>
    <t>1A2807100D22</t>
  </si>
  <si>
    <t>040C070F0950</t>
  </si>
  <si>
    <t>03080951A016</t>
  </si>
  <si>
    <t>13080951A016</t>
  </si>
  <si>
    <t>040C07140A52</t>
  </si>
  <si>
    <t>060C0950A00F</t>
  </si>
  <si>
    <t>0308070F0952</t>
  </si>
  <si>
    <t>0B290710A00F</t>
  </si>
  <si>
    <t>033807140F13</t>
  </si>
  <si>
    <t>030A09621014</t>
  </si>
  <si>
    <t>03380714A00F</t>
  </si>
  <si>
    <t>06300713A00F</t>
  </si>
  <si>
    <t>0C1A07131012</t>
  </si>
  <si>
    <t>0B1A07130F12</t>
  </si>
  <si>
    <t>0B1A0713A00F</t>
  </si>
  <si>
    <t>0C1A0713A00F</t>
  </si>
  <si>
    <t>0B2707130F13</t>
  </si>
  <si>
    <t>0B270713A00F</t>
  </si>
  <si>
    <t>030A09620F14</t>
  </si>
  <si>
    <t>060E0923A00F</t>
  </si>
  <si>
    <t>050E0923A00F</t>
  </si>
  <si>
    <t>040C07180A55</t>
  </si>
  <si>
    <t>13080954A016</t>
  </si>
  <si>
    <t>03080954A016</t>
  </si>
  <si>
    <t>060C0953A00F</t>
  </si>
  <si>
    <t>040C07190A55</t>
  </si>
  <si>
    <t>060E09601015</t>
  </si>
  <si>
    <t>050E0960A00F</t>
  </si>
  <si>
    <t>110E0960051D</t>
  </si>
  <si>
    <t>060E09600F15</t>
  </si>
  <si>
    <t>110E09231802</t>
  </si>
  <si>
    <t>110E09231702</t>
  </si>
  <si>
    <t>030B0727A00F</t>
  </si>
  <si>
    <t>0B280723A00F</t>
  </si>
  <si>
    <t>031F0721A00F</t>
  </si>
  <si>
    <t>060C094AA00F</t>
  </si>
  <si>
    <t>040C072C0A4C</t>
  </si>
  <si>
    <t>0308094BA016</t>
  </si>
  <si>
    <t>1308094BA016</t>
  </si>
  <si>
    <t>040C072B0A4C</t>
  </si>
  <si>
    <t>0308072C094C</t>
  </si>
  <si>
    <t>0308072B094C</t>
  </si>
  <si>
    <t>030B072CA00F</t>
  </si>
  <si>
    <t>06210B1D1802</t>
  </si>
  <si>
    <t>06211702000B</t>
  </si>
  <si>
    <t>061C0B17A00F</t>
  </si>
  <si>
    <t>061F072EA00F</t>
  </si>
  <si>
    <t>060E072EA00F</t>
  </si>
  <si>
    <t>061D0B18A00F</t>
  </si>
  <si>
    <t>061D0B420D43</t>
  </si>
  <si>
    <t>011E0B420D43</t>
  </si>
  <si>
    <t>031F072EA00F</t>
  </si>
  <si>
    <t>131D0B18A00F</t>
  </si>
  <si>
    <t>050E072EA00F</t>
  </si>
  <si>
    <t>110E072EA00F</t>
  </si>
  <si>
    <t>011E0943A010</t>
  </si>
  <si>
    <t>021E0543A011</t>
  </si>
  <si>
    <t>032A0717A00F</t>
  </si>
  <si>
    <t>063007160D17</t>
  </si>
  <si>
    <t>060F0B090F16</t>
  </si>
  <si>
    <t>060F0B09072A</t>
  </si>
  <si>
    <t>060F0B090727</t>
  </si>
  <si>
    <t>060F0B090726</t>
  </si>
  <si>
    <t>060F0B090721</t>
  </si>
  <si>
    <t>060F0B090723</t>
  </si>
  <si>
    <t>060F0B09070E</t>
  </si>
  <si>
    <t>060F0B090720</t>
  </si>
  <si>
    <t>060F0B09A00F</t>
  </si>
  <si>
    <t>141D0B42A00F</t>
  </si>
  <si>
    <t>101407100B0D</t>
  </si>
  <si>
    <t>101407100B26</t>
  </si>
  <si>
    <t>102907100B33</t>
  </si>
  <si>
    <t>061D0B420E43</t>
  </si>
  <si>
    <t>0B2507160D17</t>
  </si>
  <si>
    <t>0B2607160D17</t>
  </si>
  <si>
    <t>0B250716A00F</t>
  </si>
  <si>
    <t>0B260716A00F</t>
  </si>
  <si>
    <t>010E0923A00F</t>
  </si>
  <si>
    <t>06300716A00F</t>
  </si>
  <si>
    <t>010E0960A00F</t>
  </si>
  <si>
    <t>010E072EA00F</t>
  </si>
  <si>
    <t>010E0729A00F</t>
  </si>
  <si>
    <t>010E073EA00F</t>
  </si>
  <si>
    <t>010E071EA00F</t>
  </si>
  <si>
    <t>101C07160B17</t>
  </si>
  <si>
    <t>102807160B22</t>
  </si>
  <si>
    <t>102707160B1C</t>
  </si>
  <si>
    <t>102907160B33</t>
  </si>
  <si>
    <t>101407160B0D</t>
  </si>
  <si>
    <t>101407160B26</t>
  </si>
  <si>
    <t>1A1C07160D17</t>
  </si>
  <si>
    <t>1A1C07310D17</t>
  </si>
  <si>
    <t>1A1C071B0D17</t>
  </si>
  <si>
    <t>0630071B0D17</t>
  </si>
  <si>
    <t>0630071BA00F</t>
  </si>
  <si>
    <t>063007310D17</t>
  </si>
  <si>
    <t>06300731A00F</t>
  </si>
  <si>
    <t>0B2407310D17</t>
  </si>
  <si>
    <t>0B2507310D17</t>
  </si>
  <si>
    <t>0B240731A00F</t>
  </si>
  <si>
    <t>0B250731A00F</t>
  </si>
  <si>
    <t>0B24071B0D17</t>
  </si>
  <si>
    <t>0B26071B0D17</t>
  </si>
  <si>
    <t>0B24071BA00F</t>
  </si>
  <si>
    <t>0B26071BA00F</t>
  </si>
  <si>
    <t>032A071DA00F</t>
  </si>
  <si>
    <t>032A0730A00F</t>
  </si>
  <si>
    <t>101C071B0B17</t>
  </si>
  <si>
    <t>101C07310B17</t>
  </si>
  <si>
    <t>011C0917A010</t>
  </si>
  <si>
    <t>021C0517A011</t>
  </si>
  <si>
    <t>060E07290F07</t>
  </si>
  <si>
    <t>060E07291517</t>
  </si>
  <si>
    <t>060E0729A00F</t>
  </si>
  <si>
    <t>060107290A2F</t>
  </si>
  <si>
    <t>132C092FA00F</t>
  </si>
  <si>
    <t>092B0B29092F</t>
  </si>
  <si>
    <t>1A2C0B29092F</t>
  </si>
  <si>
    <t>062C092FA00F</t>
  </si>
  <si>
    <t>032C09300729</t>
  </si>
  <si>
    <t>19010740A00F</t>
  </si>
  <si>
    <t>19010741A00F</t>
  </si>
  <si>
    <t>030A09050728</t>
  </si>
  <si>
    <t>030A09050741</t>
  </si>
  <si>
    <t>032C09300740</t>
  </si>
  <si>
    <t>142C09300729</t>
  </si>
  <si>
    <t>142C0930A00F</t>
  </si>
  <si>
    <t>063007280D1C</t>
  </si>
  <si>
    <t>06300728A00F</t>
  </si>
  <si>
    <t>0B2807280D1C</t>
  </si>
  <si>
    <t>0B280728A00F</t>
  </si>
  <si>
    <t>1A2707280D1C</t>
  </si>
  <si>
    <t>102707280B1C</t>
  </si>
  <si>
    <t>122707280D1C</t>
  </si>
  <si>
    <t>060C094DA00F</t>
  </si>
  <si>
    <t>0308094EA016</t>
  </si>
  <si>
    <t>040C094DA00F</t>
  </si>
  <si>
    <t>1308094EA016</t>
  </si>
  <si>
    <t>102D0B2C0960</t>
  </si>
  <si>
    <t>011C07291007</t>
  </si>
  <si>
    <t>011C07291517</t>
  </si>
  <si>
    <t>1A2D09600D2C</t>
  </si>
  <si>
    <t>1101051D1702</t>
  </si>
  <si>
    <t>110E051D0729</t>
  </si>
  <si>
    <t>102907250B33</t>
  </si>
  <si>
    <t>0C1A07250D33</t>
  </si>
  <si>
    <t>1A2907250931</t>
  </si>
  <si>
    <t>0B1A07250D33</t>
  </si>
  <si>
    <t>12290931A00F</t>
  </si>
  <si>
    <t>0C1A0725A00F</t>
  </si>
  <si>
    <t>0B1A0725A00F</t>
  </si>
  <si>
    <t>033807360F09</t>
  </si>
  <si>
    <t>033807360F12</t>
  </si>
  <si>
    <t>03380736A00F</t>
  </si>
  <si>
    <t>030A07370714</t>
  </si>
  <si>
    <t>030A07150714</t>
  </si>
  <si>
    <t>03080957A016</t>
  </si>
  <si>
    <t>13080957A016</t>
  </si>
  <si>
    <t>060C0956A00F</t>
  </si>
  <si>
    <t>040C0956A00F</t>
  </si>
  <si>
    <t>12370B1D1017</t>
  </si>
  <si>
    <t>030A07320905</t>
  </si>
  <si>
    <t>030A07330905</t>
  </si>
  <si>
    <t>060C0958A00F</t>
  </si>
  <si>
    <t>040C0958A00F</t>
  </si>
  <si>
    <t>03080959A016</t>
  </si>
  <si>
    <t>13080959A016</t>
  </si>
  <si>
    <t>06300734A00F</t>
  </si>
  <si>
    <t>0B2907340F17</t>
  </si>
  <si>
    <t>0C1A0734A00F</t>
  </si>
  <si>
    <t>0B1A07340F17</t>
  </si>
  <si>
    <t>0B1A0734A00F</t>
  </si>
  <si>
    <t>0B290734A00F</t>
  </si>
  <si>
    <t>03080733095A</t>
  </si>
  <si>
    <t>03080736A00F</t>
  </si>
  <si>
    <t>032E07361701</t>
  </si>
  <si>
    <t>032E0736A00F</t>
  </si>
  <si>
    <t>032E073AA00F</t>
  </si>
  <si>
    <t>060C095BA00F</t>
  </si>
  <si>
    <t>0308095CA016</t>
  </si>
  <si>
    <t>1308095CA016</t>
  </si>
  <si>
    <t>2301A00F67B0</t>
  </si>
  <si>
    <t>040C095B073A</t>
  </si>
  <si>
    <t>0308095D073A</t>
  </si>
  <si>
    <t>0308095D0739</t>
  </si>
  <si>
    <t>033A07390F0C</t>
  </si>
  <si>
    <t>033A0739A00F</t>
  </si>
  <si>
    <t>0B010735A00F</t>
  </si>
  <si>
    <t>0C010735A00F</t>
  </si>
  <si>
    <t>062F073BA00F</t>
  </si>
  <si>
    <t>0B27073C0B1E</t>
  </si>
  <si>
    <t>0B28073C0B1E</t>
  </si>
  <si>
    <t>0630073CA00F</t>
  </si>
  <si>
    <t>033F073BA00F</t>
  </si>
  <si>
    <t>033F073CA00F</t>
  </si>
  <si>
    <t>062F073C0F0C</t>
  </si>
  <si>
    <t>062F073C100C</t>
  </si>
  <si>
    <t>0B29073C0F0C</t>
  </si>
  <si>
    <t>040C095B0739</t>
  </si>
  <si>
    <t>0B29073CA00F</t>
  </si>
  <si>
    <t>06300B3BA00F</t>
  </si>
  <si>
    <t>0B27073D1543</t>
  </si>
  <si>
    <t>0C01073FA00F</t>
  </si>
  <si>
    <t>0B01073FA00F</t>
  </si>
  <si>
    <t>0C1A073D0916</t>
  </si>
  <si>
    <t>0B1A073D0915</t>
  </si>
  <si>
    <t>0C1A073CA00F</t>
  </si>
  <si>
    <t>0B1A073CA00F</t>
  </si>
  <si>
    <t>0B27073DA00F</t>
  </si>
  <si>
    <t>0B280B3B073C</t>
  </si>
  <si>
    <t>06390913A00F</t>
  </si>
  <si>
    <t>0B280B3B073E</t>
  </si>
  <si>
    <t>0B28073E0B3B</t>
  </si>
  <si>
    <t>0B280B3B1542</t>
  </si>
  <si>
    <t>0B280B3B1518</t>
  </si>
  <si>
    <t>0B280B3BA00F</t>
  </si>
  <si>
    <t>0308070EA00F</t>
  </si>
  <si>
    <t>06320742A00F</t>
  </si>
  <si>
    <t>03320742A00F</t>
  </si>
  <si>
    <t>033E0742A00F</t>
  </si>
  <si>
    <t>2534A00BB0</t>
  </si>
  <si>
    <t>2601A00F7E09</t>
  </si>
  <si>
    <t>0901A00F07B0</t>
  </si>
  <si>
    <t>0501A00F07B0</t>
  </si>
  <si>
    <t>0401A00F490F</t>
  </si>
  <si>
    <t>1001A00F07B0</t>
  </si>
  <si>
    <t>0A01A00F0F0F</t>
  </si>
  <si>
    <t>0B01A00F0F0F</t>
  </si>
  <si>
    <t>0C01A00F0F0F</t>
  </si>
  <si>
    <t>1501A00F6702</t>
  </si>
  <si>
    <t>0601A00F250F</t>
  </si>
  <si>
    <t>1101051DA00F</t>
  </si>
  <si>
    <t>0E01A00F99B0</t>
  </si>
  <si>
    <t>2101A00F9AB0</t>
  </si>
  <si>
    <t>2001A00F9AB0</t>
  </si>
  <si>
    <t>0F34101FA00F</t>
  </si>
  <si>
    <t>0F34A008B0</t>
  </si>
  <si>
    <t>0D01A00CB0</t>
  </si>
  <si>
    <t>2701A00F98B0</t>
  </si>
  <si>
    <t>2801A00F9BB0</t>
  </si>
  <si>
    <t>2901A00F9CB0</t>
  </si>
  <si>
    <t>2A01A00F9DB0</t>
  </si>
  <si>
    <t>06220B1EA00F250F2F0F240F300F320F2F0F690F30B0</t>
  </si>
  <si>
    <t>0122091EA0101EB0</t>
  </si>
  <si>
    <t>033D0742A00F6712011467B0</t>
  </si>
  <si>
    <t>033D0701A00F6712421467B0</t>
  </si>
  <si>
    <t>06310701A00F3CB0</t>
  </si>
  <si>
    <t>06310902A00F02B0</t>
  </si>
  <si>
    <t>Steel Door</t>
  </si>
  <si>
    <t>Cylindrical Building</t>
  </si>
  <si>
    <t>Thin Beam of Light</t>
  </si>
  <si>
    <t>Robot</t>
  </si>
  <si>
    <t>Strange Device</t>
  </si>
  <si>
    <t>Chemicals</t>
  </si>
  <si>
    <t>Beaker</t>
  </si>
  <si>
    <t>Repository</t>
  </si>
  <si>
    <t>Small Token</t>
  </si>
  <si>
    <t>Plastic Rod</t>
  </si>
  <si>
    <t>Crystalline Cube</t>
  </si>
  <si>
    <t>Monorail</t>
  </si>
  <si>
    <t>Control Panel</t>
  </si>
  <si>
    <t>Open Door</t>
  </si>
  <si>
    <t>Small Tokens</t>
  </si>
  <si>
    <t>Lead Room</t>
  </si>
  <si>
    <t>Metal Platform</t>
  </si>
  <si>
    <t>Screwdriver</t>
  </si>
  <si>
    <t>Remote Control Unit</t>
  </si>
  <si>
    <t>Lever</t>
  </si>
  <si>
    <t>Green Button</t>
  </si>
  <si>
    <t>Glass Window</t>
  </si>
  <si>
    <t>Escalator</t>
  </si>
  <si>
    <t>Window</t>
  </si>
  <si>
    <t>Space Ship</t>
  </si>
  <si>
    <t>Transuranic Waste</t>
  </si>
  <si>
    <t>Force Field</t>
  </si>
  <si>
    <t>Many Colored Bottons &amp; Levers</t>
  </si>
  <si>
    <t>Yellow Key</t>
  </si>
  <si>
    <t>Green Key</t>
  </si>
  <si>
    <t>Canister</t>
  </si>
  <si>
    <t>Strange Structure</t>
  </si>
  <si>
    <t>Numerous Robots</t>
  </si>
  <si>
    <t>Plastic Card</t>
  </si>
  <si>
    <t>Small Building</t>
  </si>
  <si>
    <t>Laser Pistol</t>
  </si>
  <si>
    <t>Small Box</t>
  </si>
  <si>
    <t>Keyhole</t>
  </si>
  <si>
    <t>Red Button</t>
  </si>
  <si>
    <t>Reactor</t>
  </si>
  <si>
    <t>Red Key</t>
  </si>
  <si>
    <t>Atomic Waste</t>
  </si>
  <si>
    <t>Compartment</t>
  </si>
  <si>
    <t>Robot Parts</t>
  </si>
  <si>
    <t>Small Cartridge</t>
  </si>
  <si>
    <t>012B0929A01029B0</t>
  </si>
  <si>
    <t>153607010904A00F67020F0315041416B0</t>
  </si>
  <si>
    <t>0111090F0910A01D0FFF1D10FF0F67B0</t>
  </si>
  <si>
    <t>0111090FA0100FB0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</si>
</sst>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quotePrefix="1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681F-70E0-1846-909E-79627A070038}">
  <dimension ref="A1:N67"/>
  <sheetViews>
    <sheetView workbookViewId="0">
      <pane ySplit="1" topLeftCell="A2" activePane="bottomLeft" state="frozen"/>
      <selection pane="bottomLeft" activeCell="B27" sqref="B27"/>
    </sheetView>
  </sheetViews>
  <sheetFormatPr baseColWidth="10" defaultRowHeight="16" x14ac:dyDescent="0.2"/>
  <cols>
    <col min="3" max="3" width="28.5" bestFit="1" customWidth="1"/>
    <col min="10" max="10" width="27.1640625" bestFit="1" customWidth="1"/>
    <col min="11" max="11" width="16.83203125" bestFit="1" customWidth="1"/>
    <col min="12" max="12" width="15.83203125" bestFit="1" customWidth="1"/>
    <col min="13" max="13" width="9.6640625" bestFit="1" customWidth="1"/>
  </cols>
  <sheetData>
    <row r="1" spans="1:14" x14ac:dyDescent="0.2">
      <c r="A1" t="s">
        <v>0</v>
      </c>
      <c r="B1" t="s">
        <v>50</v>
      </c>
      <c r="C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8</v>
      </c>
    </row>
    <row r="2" spans="1:14" x14ac:dyDescent="0.2">
      <c r="A2">
        <v>1</v>
      </c>
      <c r="B2" t="str">
        <f>DEC2HEX(A2,2)</f>
        <v>01</v>
      </c>
      <c r="C2" t="s">
        <v>9</v>
      </c>
      <c r="D2" s="1"/>
      <c r="E2" s="1"/>
      <c r="F2" s="1"/>
      <c r="G2" s="1"/>
      <c r="H2" s="1"/>
      <c r="I2" s="1"/>
      <c r="J2" t="s">
        <v>51</v>
      </c>
      <c r="K2" t="s">
        <v>53</v>
      </c>
      <c r="L2" t="s">
        <v>54</v>
      </c>
      <c r="M2" t="s">
        <v>55</v>
      </c>
      <c r="N2" t="s">
        <v>52</v>
      </c>
    </row>
    <row r="3" spans="1:14" x14ac:dyDescent="0.2">
      <c r="A3">
        <v>2</v>
      </c>
      <c r="B3" t="str">
        <f t="shared" ref="B3:B66" si="0">DEC2HEX(A3,2)</f>
        <v>02</v>
      </c>
      <c r="C3" t="s">
        <v>10</v>
      </c>
      <c r="D3" s="1"/>
      <c r="E3" s="1"/>
      <c r="F3" s="1">
        <v>4</v>
      </c>
      <c r="G3" s="1">
        <v>3</v>
      </c>
      <c r="H3" s="1"/>
      <c r="I3" s="1"/>
    </row>
    <row r="4" spans="1:14" x14ac:dyDescent="0.2">
      <c r="A4">
        <v>3</v>
      </c>
      <c r="B4" t="str">
        <f t="shared" si="0"/>
        <v>03</v>
      </c>
      <c r="C4" t="s">
        <v>10</v>
      </c>
      <c r="D4" s="1"/>
      <c r="E4" s="1"/>
      <c r="F4" s="1">
        <v>2</v>
      </c>
      <c r="G4" s="1">
        <v>4</v>
      </c>
      <c r="H4" s="1"/>
      <c r="I4" s="1"/>
    </row>
    <row r="5" spans="1:14" x14ac:dyDescent="0.2">
      <c r="A5">
        <v>4</v>
      </c>
      <c r="B5" t="str">
        <f t="shared" si="0"/>
        <v>04</v>
      </c>
      <c r="C5" t="s">
        <v>10</v>
      </c>
      <c r="D5" s="1"/>
      <c r="E5" s="1"/>
      <c r="F5" s="1">
        <v>3</v>
      </c>
      <c r="G5" s="1">
        <v>2</v>
      </c>
      <c r="H5" s="1"/>
      <c r="I5" s="1"/>
    </row>
    <row r="6" spans="1:14" x14ac:dyDescent="0.2">
      <c r="A6">
        <v>5</v>
      </c>
      <c r="B6" t="str">
        <f t="shared" si="0"/>
        <v>05</v>
      </c>
      <c r="C6" t="s">
        <v>11</v>
      </c>
      <c r="D6" s="1"/>
      <c r="E6" s="1"/>
      <c r="F6" s="1"/>
      <c r="G6" s="1">
        <v>6</v>
      </c>
      <c r="H6" s="1"/>
      <c r="I6" s="1"/>
      <c r="J6" t="s">
        <v>876</v>
      </c>
    </row>
    <row r="7" spans="1:14" x14ac:dyDescent="0.2">
      <c r="A7">
        <v>6</v>
      </c>
      <c r="B7" t="str">
        <f t="shared" si="0"/>
        <v>06</v>
      </c>
      <c r="C7" t="s">
        <v>11</v>
      </c>
      <c r="D7" s="1"/>
      <c r="E7" s="1"/>
      <c r="F7" s="1">
        <v>5</v>
      </c>
      <c r="G7" s="1">
        <v>9</v>
      </c>
      <c r="H7" s="1"/>
      <c r="I7" s="1"/>
      <c r="J7" t="s">
        <v>877</v>
      </c>
      <c r="K7" t="s">
        <v>878</v>
      </c>
      <c r="L7" t="s">
        <v>876</v>
      </c>
      <c r="M7" t="s">
        <v>879</v>
      </c>
    </row>
    <row r="8" spans="1:14" x14ac:dyDescent="0.2">
      <c r="A8">
        <v>7</v>
      </c>
      <c r="B8" t="str">
        <f t="shared" si="0"/>
        <v>07</v>
      </c>
      <c r="C8" t="s">
        <v>12</v>
      </c>
      <c r="D8" s="1"/>
      <c r="E8" s="1"/>
      <c r="F8" s="1">
        <v>8</v>
      </c>
      <c r="G8" s="1"/>
      <c r="H8" s="1"/>
      <c r="I8" s="1"/>
      <c r="J8" t="s">
        <v>880</v>
      </c>
    </row>
    <row r="9" spans="1:14" x14ac:dyDescent="0.2">
      <c r="A9">
        <v>8</v>
      </c>
      <c r="B9" t="str">
        <f t="shared" si="0"/>
        <v>08</v>
      </c>
      <c r="C9" t="s">
        <v>12</v>
      </c>
      <c r="D9" s="1"/>
      <c r="E9" s="1"/>
      <c r="F9" s="1"/>
      <c r="G9" s="1">
        <v>7</v>
      </c>
      <c r="H9" s="1"/>
      <c r="I9" s="1"/>
      <c r="J9" t="s">
        <v>881</v>
      </c>
      <c r="K9" t="s">
        <v>882</v>
      </c>
    </row>
    <row r="10" spans="1:14" x14ac:dyDescent="0.2">
      <c r="A10">
        <v>9</v>
      </c>
      <c r="B10" t="str">
        <f t="shared" si="0"/>
        <v>09</v>
      </c>
      <c r="C10" t="s">
        <v>13</v>
      </c>
      <c r="D10" s="1">
        <v>13</v>
      </c>
      <c r="E10" s="1">
        <v>10</v>
      </c>
      <c r="F10" s="1">
        <v>6</v>
      </c>
      <c r="G10" s="1"/>
      <c r="H10" s="1"/>
      <c r="I10" s="1"/>
    </row>
    <row r="11" spans="1:14" x14ac:dyDescent="0.2">
      <c r="A11">
        <v>10</v>
      </c>
      <c r="B11" t="str">
        <f t="shared" si="0"/>
        <v>0A</v>
      </c>
      <c r="C11" t="s">
        <v>13</v>
      </c>
      <c r="D11" s="1">
        <v>9</v>
      </c>
      <c r="E11" s="1"/>
      <c r="F11" s="1"/>
      <c r="G11" s="1"/>
      <c r="H11" s="1"/>
      <c r="I11" s="1"/>
      <c r="J11" t="s">
        <v>883</v>
      </c>
      <c r="K11" t="s">
        <v>878</v>
      </c>
      <c r="L11" t="s">
        <v>876</v>
      </c>
    </row>
    <row r="12" spans="1:14" x14ac:dyDescent="0.2">
      <c r="A12">
        <v>11</v>
      </c>
      <c r="B12" t="str">
        <f t="shared" si="0"/>
        <v>0B</v>
      </c>
      <c r="C12" t="s">
        <v>14</v>
      </c>
      <c r="D12" s="1"/>
      <c r="E12" s="1"/>
      <c r="F12" s="1"/>
      <c r="G12" s="1"/>
      <c r="H12" s="1"/>
      <c r="I12" s="1"/>
      <c r="J12" t="s">
        <v>884</v>
      </c>
      <c r="K12" t="s">
        <v>885</v>
      </c>
    </row>
    <row r="13" spans="1:14" x14ac:dyDescent="0.2">
      <c r="A13">
        <v>12</v>
      </c>
      <c r="B13" t="str">
        <f t="shared" si="0"/>
        <v>0C</v>
      </c>
      <c r="C13" t="s">
        <v>15</v>
      </c>
      <c r="D13" s="1"/>
      <c r="E13" s="1"/>
      <c r="F13" s="1"/>
      <c r="G13" s="1"/>
      <c r="H13" s="1"/>
      <c r="I13" s="1"/>
    </row>
    <row r="14" spans="1:14" x14ac:dyDescent="0.2">
      <c r="A14">
        <v>13</v>
      </c>
      <c r="B14" t="str">
        <f t="shared" si="0"/>
        <v>0D</v>
      </c>
      <c r="C14" t="s">
        <v>16</v>
      </c>
      <c r="D14" s="1"/>
      <c r="E14" s="1">
        <v>9</v>
      </c>
      <c r="F14" s="1"/>
      <c r="G14" s="1"/>
      <c r="H14" s="1"/>
      <c r="I14" s="1"/>
      <c r="J14" t="s">
        <v>886</v>
      </c>
      <c r="K14" t="s">
        <v>887</v>
      </c>
    </row>
    <row r="15" spans="1:14" x14ac:dyDescent="0.2">
      <c r="A15">
        <v>14</v>
      </c>
      <c r="B15" t="str">
        <f t="shared" si="0"/>
        <v>0E</v>
      </c>
      <c r="C15" t="s">
        <v>17</v>
      </c>
      <c r="D15" s="1"/>
      <c r="E15" s="1"/>
      <c r="F15" s="1"/>
      <c r="G15" s="1"/>
      <c r="H15" s="1"/>
      <c r="I15" s="1"/>
      <c r="J15" t="s">
        <v>888</v>
      </c>
      <c r="K15" t="s">
        <v>889</v>
      </c>
    </row>
    <row r="16" spans="1:14" x14ac:dyDescent="0.2">
      <c r="A16">
        <v>15</v>
      </c>
      <c r="B16" t="str">
        <f t="shared" si="0"/>
        <v>0F</v>
      </c>
      <c r="C16" t="s">
        <v>18</v>
      </c>
      <c r="D16" s="1">
        <v>18</v>
      </c>
      <c r="E16" s="1">
        <v>1</v>
      </c>
      <c r="F16" s="1"/>
      <c r="G16" s="1"/>
      <c r="H16" s="1"/>
      <c r="I16" s="1"/>
      <c r="J16" t="s">
        <v>876</v>
      </c>
    </row>
    <row r="17" spans="1:12" x14ac:dyDescent="0.2">
      <c r="A17">
        <v>16</v>
      </c>
      <c r="B17" t="str">
        <f t="shared" si="0"/>
        <v>10</v>
      </c>
      <c r="C17" t="s">
        <v>19</v>
      </c>
      <c r="D17" s="1"/>
      <c r="E17" s="1"/>
      <c r="F17" s="1"/>
      <c r="G17" s="1">
        <v>15</v>
      </c>
      <c r="H17" s="1"/>
      <c r="I17" s="1"/>
      <c r="J17" t="s">
        <v>888</v>
      </c>
    </row>
    <row r="18" spans="1:12" x14ac:dyDescent="0.2">
      <c r="A18">
        <v>17</v>
      </c>
      <c r="B18" t="str">
        <f t="shared" si="0"/>
        <v>11</v>
      </c>
      <c r="C18" t="s">
        <v>20</v>
      </c>
      <c r="D18" s="1"/>
      <c r="E18" s="1"/>
      <c r="F18" s="1"/>
      <c r="G18" s="1">
        <v>18</v>
      </c>
      <c r="H18" s="1"/>
      <c r="I18" s="1"/>
      <c r="J18" t="s">
        <v>890</v>
      </c>
    </row>
    <row r="19" spans="1:12" x14ac:dyDescent="0.2">
      <c r="A19">
        <v>18</v>
      </c>
      <c r="B19" t="str">
        <f t="shared" si="0"/>
        <v>12</v>
      </c>
      <c r="C19" t="s">
        <v>18</v>
      </c>
      <c r="D19" s="1"/>
      <c r="E19" s="1">
        <v>15</v>
      </c>
      <c r="F19" s="1">
        <v>17</v>
      </c>
      <c r="G19" s="1"/>
      <c r="H19" s="1"/>
      <c r="I19" s="1"/>
    </row>
    <row r="20" spans="1:12" x14ac:dyDescent="0.2">
      <c r="A20">
        <v>19</v>
      </c>
      <c r="B20" t="str">
        <f t="shared" si="0"/>
        <v>13</v>
      </c>
      <c r="C20" t="s">
        <v>21</v>
      </c>
      <c r="D20" s="1">
        <v>24</v>
      </c>
      <c r="E20" s="1">
        <v>20</v>
      </c>
      <c r="F20" s="1"/>
      <c r="G20" s="1"/>
      <c r="H20" s="1"/>
      <c r="I20" s="1"/>
      <c r="J20" t="s">
        <v>888</v>
      </c>
    </row>
    <row r="21" spans="1:12" x14ac:dyDescent="0.2">
      <c r="A21">
        <v>20</v>
      </c>
      <c r="B21" t="str">
        <f t="shared" si="0"/>
        <v>14</v>
      </c>
      <c r="C21" t="s">
        <v>22</v>
      </c>
      <c r="D21" s="1">
        <v>19</v>
      </c>
      <c r="E21" s="1"/>
      <c r="F21" s="1"/>
      <c r="G21" s="1"/>
      <c r="H21" s="1"/>
      <c r="I21" s="1"/>
      <c r="J21" t="s">
        <v>891</v>
      </c>
    </row>
    <row r="22" spans="1:12" x14ac:dyDescent="0.2">
      <c r="A22">
        <v>21</v>
      </c>
      <c r="B22" t="str">
        <f t="shared" si="0"/>
        <v>15</v>
      </c>
      <c r="C22" t="s">
        <v>23</v>
      </c>
      <c r="D22" s="1"/>
      <c r="E22" s="1"/>
      <c r="F22" s="1"/>
      <c r="G22" s="1"/>
      <c r="H22" s="1"/>
      <c r="I22" s="1"/>
    </row>
    <row r="23" spans="1:12" x14ac:dyDescent="0.2">
      <c r="A23">
        <v>22</v>
      </c>
      <c r="B23" t="str">
        <f t="shared" si="0"/>
        <v>16</v>
      </c>
      <c r="C23" t="s">
        <v>24</v>
      </c>
      <c r="D23" s="1">
        <v>23</v>
      </c>
      <c r="E23" s="1"/>
      <c r="F23" s="1"/>
      <c r="G23" s="1"/>
      <c r="H23" s="1"/>
      <c r="I23" s="1"/>
      <c r="J23" t="s">
        <v>888</v>
      </c>
    </row>
    <row r="24" spans="1:12" x14ac:dyDescent="0.2">
      <c r="A24">
        <v>23</v>
      </c>
      <c r="B24" t="str">
        <f t="shared" si="0"/>
        <v>17</v>
      </c>
      <c r="C24" t="s">
        <v>25</v>
      </c>
      <c r="D24" s="1"/>
      <c r="E24" s="1"/>
      <c r="F24" s="1">
        <v>24</v>
      </c>
      <c r="G24" s="1"/>
      <c r="H24" s="1"/>
      <c r="I24" s="1"/>
      <c r="J24" t="s">
        <v>892</v>
      </c>
    </row>
    <row r="25" spans="1:12" x14ac:dyDescent="0.2">
      <c r="A25">
        <v>24</v>
      </c>
      <c r="B25" t="str">
        <f t="shared" si="0"/>
        <v>18</v>
      </c>
      <c r="C25" t="s">
        <v>26</v>
      </c>
      <c r="D25" s="1">
        <v>26</v>
      </c>
      <c r="E25" s="1">
        <v>19</v>
      </c>
      <c r="F25" s="1"/>
      <c r="G25" s="1">
        <v>23</v>
      </c>
      <c r="H25" s="1"/>
      <c r="I25" s="1"/>
      <c r="J25" t="s">
        <v>878</v>
      </c>
      <c r="K25" t="s">
        <v>876</v>
      </c>
    </row>
    <row r="26" spans="1:12" x14ac:dyDescent="0.2">
      <c r="A26">
        <v>25</v>
      </c>
      <c r="B26" t="str">
        <f t="shared" si="0"/>
        <v>19</v>
      </c>
      <c r="C26" t="s">
        <v>27</v>
      </c>
      <c r="D26" s="1"/>
      <c r="E26" s="1"/>
      <c r="F26" s="1"/>
      <c r="G26" s="1"/>
      <c r="H26" s="1"/>
      <c r="I26" s="1"/>
      <c r="J26" t="s">
        <v>879</v>
      </c>
    </row>
    <row r="27" spans="1:12" x14ac:dyDescent="0.2">
      <c r="A27">
        <v>26</v>
      </c>
      <c r="B27" t="str">
        <f t="shared" si="0"/>
        <v>1A</v>
      </c>
      <c r="C27" t="s">
        <v>28</v>
      </c>
      <c r="D27" s="1"/>
      <c r="E27" s="1">
        <v>24</v>
      </c>
      <c r="F27" s="1"/>
      <c r="G27" s="1"/>
      <c r="H27" s="1"/>
      <c r="I27" s="1"/>
      <c r="J27" t="s">
        <v>893</v>
      </c>
    </row>
    <row r="28" spans="1:12" x14ac:dyDescent="0.2">
      <c r="A28">
        <v>27</v>
      </c>
      <c r="B28" t="str">
        <f t="shared" si="0"/>
        <v>1B</v>
      </c>
      <c r="C28" t="s">
        <v>24</v>
      </c>
      <c r="D28" s="1"/>
      <c r="E28" s="1"/>
      <c r="F28" s="1">
        <v>29</v>
      </c>
      <c r="G28" s="1"/>
      <c r="H28" s="1"/>
      <c r="I28" s="1"/>
      <c r="J28" t="s">
        <v>888</v>
      </c>
    </row>
    <row r="29" spans="1:12" x14ac:dyDescent="0.2">
      <c r="A29">
        <v>28</v>
      </c>
      <c r="B29" t="str">
        <f t="shared" si="0"/>
        <v>1C</v>
      </c>
      <c r="C29" t="s">
        <v>29</v>
      </c>
      <c r="D29" s="1">
        <v>31</v>
      </c>
      <c r="E29" s="1">
        <v>41</v>
      </c>
      <c r="F29" s="1">
        <v>31</v>
      </c>
      <c r="G29" s="1">
        <v>28</v>
      </c>
      <c r="H29" s="1">
        <v>31</v>
      </c>
      <c r="I29" s="1">
        <v>28</v>
      </c>
    </row>
    <row r="30" spans="1:12" x14ac:dyDescent="0.2">
      <c r="A30">
        <v>29</v>
      </c>
      <c r="B30" t="str">
        <f t="shared" si="0"/>
        <v>1D</v>
      </c>
      <c r="C30" t="s">
        <v>30</v>
      </c>
      <c r="D30" s="1"/>
      <c r="E30" s="1">
        <v>31</v>
      </c>
      <c r="F30" s="1">
        <v>30</v>
      </c>
      <c r="G30" s="1"/>
      <c r="H30" s="1"/>
      <c r="I30" s="1"/>
      <c r="J30" t="s">
        <v>892</v>
      </c>
    </row>
    <row r="31" spans="1:12" x14ac:dyDescent="0.2">
      <c r="A31">
        <v>30</v>
      </c>
      <c r="B31" t="str">
        <f t="shared" si="0"/>
        <v>1E</v>
      </c>
      <c r="C31" t="s">
        <v>31</v>
      </c>
      <c r="D31" s="1"/>
      <c r="E31" s="1"/>
      <c r="F31" s="1"/>
      <c r="G31" s="1">
        <v>29</v>
      </c>
      <c r="H31" s="1"/>
      <c r="I31" s="1"/>
      <c r="J31" t="s">
        <v>918</v>
      </c>
      <c r="K31" t="s">
        <v>919</v>
      </c>
      <c r="L31" t="s">
        <v>920</v>
      </c>
    </row>
    <row r="32" spans="1:12" x14ac:dyDescent="0.2">
      <c r="A32">
        <v>31</v>
      </c>
      <c r="B32" t="str">
        <f t="shared" si="0"/>
        <v>1F</v>
      </c>
      <c r="C32" t="s">
        <v>29</v>
      </c>
      <c r="D32" s="1">
        <v>29</v>
      </c>
      <c r="E32" s="1">
        <v>36</v>
      </c>
      <c r="F32" s="1">
        <v>31</v>
      </c>
      <c r="G32" s="1">
        <v>28</v>
      </c>
      <c r="H32" s="1">
        <v>28</v>
      </c>
      <c r="I32" s="1">
        <v>31</v>
      </c>
    </row>
    <row r="33" spans="1:12" x14ac:dyDescent="0.2">
      <c r="A33">
        <v>32</v>
      </c>
      <c r="B33" t="str">
        <f t="shared" si="0"/>
        <v>20</v>
      </c>
      <c r="C33" t="s">
        <v>32</v>
      </c>
      <c r="D33" s="1"/>
      <c r="E33" s="1"/>
      <c r="F33" s="1">
        <v>33</v>
      </c>
      <c r="G33" s="1"/>
      <c r="H33" s="1"/>
      <c r="I33" s="1"/>
      <c r="J33" t="s">
        <v>916</v>
      </c>
      <c r="K33" t="s">
        <v>917</v>
      </c>
    </row>
    <row r="34" spans="1:12" x14ac:dyDescent="0.2">
      <c r="A34">
        <v>33</v>
      </c>
      <c r="B34" t="str">
        <f t="shared" si="0"/>
        <v>21</v>
      </c>
      <c r="C34" t="s">
        <v>33</v>
      </c>
      <c r="D34" s="1"/>
      <c r="E34" s="1">
        <v>38</v>
      </c>
      <c r="F34" s="1"/>
      <c r="G34" s="1"/>
      <c r="H34" s="1"/>
      <c r="I34" s="1"/>
      <c r="J34" t="s">
        <v>915</v>
      </c>
    </row>
    <row r="35" spans="1:12" x14ac:dyDescent="0.2">
      <c r="A35">
        <v>34</v>
      </c>
      <c r="B35" t="str">
        <f t="shared" si="0"/>
        <v>22</v>
      </c>
      <c r="C35" t="s">
        <v>34</v>
      </c>
      <c r="D35" s="1"/>
      <c r="E35" s="1"/>
      <c r="F35" s="1"/>
      <c r="G35" s="1"/>
      <c r="H35" s="1"/>
      <c r="I35" s="1"/>
    </row>
    <row r="36" spans="1:12" x14ac:dyDescent="0.2">
      <c r="A36">
        <v>35</v>
      </c>
      <c r="B36" t="str">
        <f t="shared" si="0"/>
        <v>23</v>
      </c>
      <c r="C36" t="s">
        <v>35</v>
      </c>
      <c r="D36" s="1"/>
      <c r="E36" s="1">
        <v>39</v>
      </c>
      <c r="F36" s="1"/>
      <c r="G36" s="1"/>
      <c r="H36" s="1"/>
      <c r="I36" s="1"/>
      <c r="J36" t="s">
        <v>914</v>
      </c>
    </row>
    <row r="37" spans="1:12" x14ac:dyDescent="0.2">
      <c r="A37">
        <v>36</v>
      </c>
      <c r="B37" t="str">
        <f t="shared" si="0"/>
        <v>24</v>
      </c>
      <c r="C37" t="s">
        <v>29</v>
      </c>
      <c r="D37" s="1">
        <v>31</v>
      </c>
      <c r="E37" s="1"/>
      <c r="F37" s="1"/>
      <c r="G37" s="1"/>
      <c r="H37" s="1"/>
      <c r="I37" s="1"/>
      <c r="J37" t="s">
        <v>878</v>
      </c>
    </row>
    <row r="38" spans="1:12" x14ac:dyDescent="0.2">
      <c r="A38">
        <v>37</v>
      </c>
      <c r="B38" t="str">
        <f t="shared" si="0"/>
        <v>25</v>
      </c>
      <c r="C38" t="s">
        <v>36</v>
      </c>
      <c r="D38" s="1"/>
      <c r="E38" s="1">
        <v>40</v>
      </c>
      <c r="F38" s="1"/>
      <c r="G38" s="1"/>
      <c r="H38" s="1"/>
      <c r="I38" s="1"/>
      <c r="J38" t="s">
        <v>895</v>
      </c>
      <c r="K38" t="s">
        <v>913</v>
      </c>
    </row>
    <row r="39" spans="1:12" x14ac:dyDescent="0.2">
      <c r="A39">
        <v>38</v>
      </c>
      <c r="B39" t="str">
        <f t="shared" si="0"/>
        <v>26</v>
      </c>
      <c r="C39" t="s">
        <v>37</v>
      </c>
      <c r="D39" s="1"/>
      <c r="E39" s="1">
        <v>39</v>
      </c>
      <c r="F39" s="1"/>
      <c r="G39" s="1"/>
      <c r="H39" s="1"/>
      <c r="I39" s="1"/>
      <c r="J39" t="s">
        <v>912</v>
      </c>
    </row>
    <row r="40" spans="1:12" x14ac:dyDescent="0.2">
      <c r="A40">
        <v>39</v>
      </c>
      <c r="B40" t="str">
        <f t="shared" si="0"/>
        <v>27</v>
      </c>
      <c r="C40" t="s">
        <v>37</v>
      </c>
      <c r="D40" s="1"/>
      <c r="E40" s="1">
        <v>42</v>
      </c>
      <c r="F40" s="1"/>
      <c r="G40" s="1">
        <v>38</v>
      </c>
      <c r="H40" s="1"/>
      <c r="I40" s="1"/>
      <c r="J40" t="s">
        <v>910</v>
      </c>
    </row>
    <row r="41" spans="1:12" x14ac:dyDescent="0.2">
      <c r="A41">
        <v>40</v>
      </c>
      <c r="B41" t="str">
        <f t="shared" si="0"/>
        <v>28</v>
      </c>
      <c r="C41" t="s">
        <v>36</v>
      </c>
      <c r="D41" s="1">
        <v>37</v>
      </c>
      <c r="E41" s="1"/>
      <c r="F41" s="1"/>
      <c r="G41" s="1"/>
      <c r="H41" s="1"/>
      <c r="I41" s="1"/>
      <c r="J41" t="s">
        <v>888</v>
      </c>
    </row>
    <row r="42" spans="1:12" x14ac:dyDescent="0.2">
      <c r="A42">
        <v>41</v>
      </c>
      <c r="B42" t="str">
        <f t="shared" si="0"/>
        <v>29</v>
      </c>
      <c r="C42" t="s">
        <v>38</v>
      </c>
      <c r="D42" s="1">
        <v>28</v>
      </c>
      <c r="E42" s="1"/>
      <c r="F42" s="1"/>
      <c r="G42" s="1"/>
      <c r="H42" s="1"/>
      <c r="I42" s="1"/>
    </row>
    <row r="43" spans="1:12" x14ac:dyDescent="0.2">
      <c r="A43">
        <v>42</v>
      </c>
      <c r="B43" t="str">
        <f t="shared" si="0"/>
        <v>2A</v>
      </c>
      <c r="C43" t="s">
        <v>39</v>
      </c>
      <c r="D43" s="1">
        <v>39</v>
      </c>
      <c r="E43" s="1"/>
      <c r="F43" s="1"/>
      <c r="G43" s="1"/>
      <c r="H43" s="1"/>
      <c r="I43" s="1"/>
    </row>
    <row r="44" spans="1:12" x14ac:dyDescent="0.2">
      <c r="A44">
        <v>43</v>
      </c>
      <c r="B44" t="str">
        <f t="shared" si="0"/>
        <v>2B</v>
      </c>
      <c r="C44" t="s">
        <v>27</v>
      </c>
      <c r="D44" s="1"/>
      <c r="E44" s="1"/>
      <c r="F44" s="1"/>
      <c r="G44" s="1"/>
      <c r="H44" s="1"/>
      <c r="I44" s="1"/>
      <c r="J44" t="s">
        <v>911</v>
      </c>
    </row>
    <row r="45" spans="1:12" x14ac:dyDescent="0.2">
      <c r="A45">
        <v>44</v>
      </c>
      <c r="B45" t="str">
        <f t="shared" si="0"/>
        <v>2C</v>
      </c>
      <c r="C45" t="s">
        <v>40</v>
      </c>
      <c r="D45" s="1"/>
      <c r="E45" s="1">
        <v>47</v>
      </c>
      <c r="F45" s="1">
        <v>45</v>
      </c>
      <c r="G45" s="1"/>
      <c r="H45" s="1"/>
      <c r="I45" s="1"/>
      <c r="J45" t="s">
        <v>910</v>
      </c>
      <c r="K45" s="4" t="s">
        <v>878</v>
      </c>
      <c r="L45" s="4" t="s">
        <v>876</v>
      </c>
    </row>
    <row r="46" spans="1:12" x14ac:dyDescent="0.2">
      <c r="A46">
        <v>45</v>
      </c>
      <c r="B46" t="str">
        <f t="shared" si="0"/>
        <v>2D</v>
      </c>
      <c r="C46" t="s">
        <v>41</v>
      </c>
      <c r="D46" s="1"/>
      <c r="E46" s="1">
        <v>46</v>
      </c>
      <c r="F46" s="1">
        <v>44</v>
      </c>
      <c r="G46" s="1"/>
      <c r="H46" s="1"/>
      <c r="I46" s="1"/>
      <c r="J46" t="s">
        <v>909</v>
      </c>
    </row>
    <row r="47" spans="1:12" x14ac:dyDescent="0.2">
      <c r="A47">
        <v>46</v>
      </c>
      <c r="B47" t="str">
        <f t="shared" si="0"/>
        <v>2E</v>
      </c>
      <c r="C47" t="s">
        <v>41</v>
      </c>
      <c r="D47" s="1"/>
      <c r="E47" s="1"/>
      <c r="F47" s="1"/>
      <c r="G47" s="1">
        <v>45</v>
      </c>
      <c r="H47" s="1"/>
      <c r="I47" s="1"/>
      <c r="J47" t="s">
        <v>906</v>
      </c>
      <c r="K47" t="s">
        <v>907</v>
      </c>
      <c r="L47" t="s">
        <v>908</v>
      </c>
    </row>
    <row r="48" spans="1:12" x14ac:dyDescent="0.2">
      <c r="A48">
        <v>47</v>
      </c>
      <c r="B48" t="str">
        <f t="shared" si="0"/>
        <v>2F</v>
      </c>
      <c r="C48" t="s">
        <v>40</v>
      </c>
      <c r="D48" s="1">
        <v>44</v>
      </c>
      <c r="E48" s="1"/>
      <c r="F48" s="1"/>
      <c r="G48" s="1"/>
      <c r="H48" s="1"/>
      <c r="I48" s="1"/>
      <c r="J48" t="s">
        <v>905</v>
      </c>
    </row>
    <row r="49" spans="1:12" x14ac:dyDescent="0.2">
      <c r="A49">
        <v>48</v>
      </c>
      <c r="B49" t="str">
        <f t="shared" si="0"/>
        <v>30</v>
      </c>
      <c r="C49" t="s">
        <v>30</v>
      </c>
      <c r="D49" s="1"/>
      <c r="E49" s="1">
        <v>50</v>
      </c>
      <c r="F49" s="1"/>
      <c r="G49" s="1"/>
      <c r="H49" s="1"/>
      <c r="I49" s="1"/>
      <c r="J49" t="s">
        <v>892</v>
      </c>
    </row>
    <row r="50" spans="1:12" x14ac:dyDescent="0.2">
      <c r="A50">
        <v>49</v>
      </c>
      <c r="B50" t="str">
        <f t="shared" si="0"/>
        <v>31</v>
      </c>
      <c r="C50" t="s">
        <v>24</v>
      </c>
      <c r="D50" s="1"/>
      <c r="E50" s="1"/>
      <c r="F50" s="1"/>
      <c r="G50" s="1">
        <v>48</v>
      </c>
      <c r="H50" s="1"/>
      <c r="I50" s="1"/>
      <c r="J50" t="s">
        <v>888</v>
      </c>
    </row>
    <row r="51" spans="1:12" x14ac:dyDescent="0.2">
      <c r="A51">
        <v>50</v>
      </c>
      <c r="B51" t="str">
        <f t="shared" si="0"/>
        <v>32</v>
      </c>
      <c r="C51" t="s">
        <v>30</v>
      </c>
      <c r="D51" s="1">
        <v>48</v>
      </c>
      <c r="E51" s="1"/>
      <c r="F51" s="1"/>
      <c r="G51" s="1"/>
      <c r="H51" s="1"/>
      <c r="I51" s="1"/>
      <c r="J51" t="s">
        <v>878</v>
      </c>
      <c r="K51" t="s">
        <v>876</v>
      </c>
    </row>
    <row r="52" spans="1:12" x14ac:dyDescent="0.2">
      <c r="A52">
        <v>51</v>
      </c>
      <c r="B52" t="str">
        <f t="shared" si="0"/>
        <v>33</v>
      </c>
      <c r="C52" t="s">
        <v>42</v>
      </c>
      <c r="D52" s="1"/>
      <c r="E52" s="1"/>
      <c r="F52" s="1">
        <v>52</v>
      </c>
      <c r="G52" s="1"/>
      <c r="H52" s="1"/>
      <c r="I52" s="1"/>
      <c r="J52" t="s">
        <v>878</v>
      </c>
      <c r="K52" t="s">
        <v>876</v>
      </c>
    </row>
    <row r="53" spans="1:12" x14ac:dyDescent="0.2">
      <c r="A53">
        <v>52</v>
      </c>
      <c r="B53" t="str">
        <f t="shared" si="0"/>
        <v>34</v>
      </c>
      <c r="C53" t="s">
        <v>42</v>
      </c>
      <c r="D53" s="1"/>
      <c r="E53" s="1"/>
      <c r="F53" s="1">
        <v>53</v>
      </c>
      <c r="G53" s="1">
        <v>51</v>
      </c>
      <c r="H53" s="1"/>
      <c r="I53" s="1"/>
      <c r="J53" t="s">
        <v>888</v>
      </c>
      <c r="K53" t="s">
        <v>904</v>
      </c>
    </row>
    <row r="54" spans="1:12" x14ac:dyDescent="0.2">
      <c r="A54">
        <v>53</v>
      </c>
      <c r="B54" t="str">
        <f t="shared" si="0"/>
        <v>35</v>
      </c>
      <c r="C54" t="s">
        <v>21</v>
      </c>
      <c r="D54" s="1"/>
      <c r="E54" s="1"/>
      <c r="F54" s="1"/>
      <c r="G54" s="1">
        <v>52</v>
      </c>
      <c r="H54" s="1"/>
      <c r="I54" s="1"/>
      <c r="J54" t="s">
        <v>903</v>
      </c>
    </row>
    <row r="55" spans="1:12" x14ac:dyDescent="0.2">
      <c r="A55">
        <v>54</v>
      </c>
      <c r="B55" t="str">
        <f t="shared" si="0"/>
        <v>36</v>
      </c>
      <c r="C55" t="s">
        <v>42</v>
      </c>
      <c r="D55" s="1"/>
      <c r="E55" s="1"/>
      <c r="F55" s="1"/>
      <c r="G55" s="1"/>
      <c r="H55" s="1"/>
      <c r="I55" s="1"/>
      <c r="J55" t="s">
        <v>891</v>
      </c>
      <c r="K55" t="s">
        <v>902</v>
      </c>
    </row>
    <row r="56" spans="1:12" x14ac:dyDescent="0.2">
      <c r="A56">
        <v>55</v>
      </c>
      <c r="B56" t="str">
        <f t="shared" si="0"/>
        <v>37</v>
      </c>
      <c r="C56" t="s">
        <v>23</v>
      </c>
      <c r="D56" s="1"/>
      <c r="E56" s="1"/>
      <c r="F56" s="1"/>
      <c r="G56" s="1"/>
      <c r="H56" s="1"/>
      <c r="I56" s="1"/>
      <c r="J56" t="s">
        <v>901</v>
      </c>
    </row>
    <row r="57" spans="1:12" x14ac:dyDescent="0.2">
      <c r="A57">
        <v>56</v>
      </c>
      <c r="B57" t="str">
        <f t="shared" si="0"/>
        <v>38</v>
      </c>
      <c r="C57" t="s">
        <v>43</v>
      </c>
      <c r="D57" s="1"/>
      <c r="E57" s="1"/>
      <c r="F57" s="1"/>
      <c r="G57" s="1"/>
      <c r="H57" s="1"/>
      <c r="I57" s="1"/>
    </row>
    <row r="58" spans="1:12" x14ac:dyDescent="0.2">
      <c r="A58">
        <v>57</v>
      </c>
      <c r="B58" t="str">
        <f t="shared" si="0"/>
        <v>39</v>
      </c>
      <c r="C58" t="s">
        <v>44</v>
      </c>
      <c r="D58" s="1"/>
      <c r="E58" s="1"/>
      <c r="F58" s="1"/>
      <c r="G58" s="1"/>
      <c r="H58" s="1"/>
      <c r="I58" s="1"/>
      <c r="J58" t="s">
        <v>900</v>
      </c>
    </row>
    <row r="59" spans="1:12" x14ac:dyDescent="0.2">
      <c r="A59">
        <v>58</v>
      </c>
      <c r="B59" t="str">
        <f t="shared" si="0"/>
        <v>3A</v>
      </c>
      <c r="C59" t="s">
        <v>28</v>
      </c>
      <c r="D59" s="1"/>
      <c r="E59" s="1"/>
      <c r="F59" s="1">
        <v>59</v>
      </c>
      <c r="G59" s="1"/>
      <c r="H59" s="1"/>
      <c r="I59" s="1"/>
      <c r="J59" t="s">
        <v>878</v>
      </c>
      <c r="K59" t="s">
        <v>876</v>
      </c>
    </row>
    <row r="60" spans="1:12" x14ac:dyDescent="0.2">
      <c r="A60">
        <v>59</v>
      </c>
      <c r="B60" t="str">
        <f t="shared" si="0"/>
        <v>3B</v>
      </c>
      <c r="C60" t="s">
        <v>45</v>
      </c>
      <c r="D60" s="1"/>
      <c r="E60" s="1"/>
      <c r="F60" s="1"/>
      <c r="G60" s="1">
        <v>58</v>
      </c>
      <c r="H60" s="1"/>
      <c r="I60" s="1"/>
      <c r="J60" t="s">
        <v>898</v>
      </c>
      <c r="K60" t="s">
        <v>899</v>
      </c>
    </row>
    <row r="61" spans="1:12" x14ac:dyDescent="0.2">
      <c r="A61">
        <v>60</v>
      </c>
      <c r="B61" t="str">
        <f t="shared" si="0"/>
        <v>3C</v>
      </c>
      <c r="C61" t="s">
        <v>46</v>
      </c>
      <c r="D61" s="1"/>
      <c r="E61" s="1"/>
      <c r="F61" s="1"/>
      <c r="G61" s="1"/>
      <c r="H61" s="1"/>
      <c r="I61" s="1"/>
      <c r="J61" t="s">
        <v>897</v>
      </c>
      <c r="K61" t="s">
        <v>888</v>
      </c>
    </row>
    <row r="62" spans="1:12" x14ac:dyDescent="0.2">
      <c r="A62">
        <v>61</v>
      </c>
      <c r="B62" t="str">
        <f t="shared" si="0"/>
        <v>3D</v>
      </c>
      <c r="C62" t="s">
        <v>47</v>
      </c>
      <c r="D62" s="1"/>
      <c r="E62" s="1">
        <v>63</v>
      </c>
      <c r="F62" s="1">
        <v>62</v>
      </c>
      <c r="G62" s="1"/>
      <c r="H62" s="1"/>
      <c r="I62" s="1"/>
      <c r="J62" t="s">
        <v>894</v>
      </c>
      <c r="K62" t="s">
        <v>895</v>
      </c>
      <c r="L62" t="s">
        <v>896</v>
      </c>
    </row>
    <row r="63" spans="1:12" x14ac:dyDescent="0.2">
      <c r="A63">
        <v>62</v>
      </c>
      <c r="B63" t="str">
        <f t="shared" si="0"/>
        <v>3E</v>
      </c>
      <c r="C63" t="s">
        <v>47</v>
      </c>
      <c r="D63" s="1"/>
      <c r="E63" s="1"/>
      <c r="F63" s="1">
        <v>61</v>
      </c>
      <c r="G63" s="1"/>
      <c r="H63" s="1"/>
      <c r="I63" s="1"/>
      <c r="J63" t="s">
        <v>879</v>
      </c>
    </row>
    <row r="64" spans="1:12" x14ac:dyDescent="0.2">
      <c r="A64">
        <v>63</v>
      </c>
      <c r="B64" t="str">
        <f t="shared" si="0"/>
        <v>3F</v>
      </c>
      <c r="C64" t="s">
        <v>47</v>
      </c>
      <c r="D64" s="1">
        <v>61</v>
      </c>
      <c r="E64" s="1"/>
      <c r="F64" s="1"/>
      <c r="G64" s="1"/>
      <c r="H64" s="1"/>
      <c r="I64" s="1"/>
    </row>
    <row r="65" spans="1:11" x14ac:dyDescent="0.2">
      <c r="A65">
        <v>64</v>
      </c>
      <c r="B65" t="str">
        <f t="shared" si="0"/>
        <v>40</v>
      </c>
      <c r="C65" t="s">
        <v>48</v>
      </c>
      <c r="D65" s="1"/>
      <c r="E65" s="1"/>
      <c r="F65" s="1"/>
      <c r="G65" s="1"/>
      <c r="H65" s="1"/>
      <c r="I65" s="1"/>
    </row>
    <row r="66" spans="1:11" x14ac:dyDescent="0.2">
      <c r="A66">
        <v>65</v>
      </c>
      <c r="B66" t="str">
        <f t="shared" si="0"/>
        <v>41</v>
      </c>
      <c r="C66" t="s">
        <v>48</v>
      </c>
      <c r="D66" s="1"/>
      <c r="E66" s="1"/>
      <c r="F66" s="1"/>
      <c r="G66" s="1"/>
      <c r="H66" s="1"/>
      <c r="I66" s="1"/>
    </row>
    <row r="67" spans="1:11" x14ac:dyDescent="0.2">
      <c r="A67">
        <v>66</v>
      </c>
      <c r="B67" t="str">
        <f t="shared" ref="B67" si="1">DEC2HEX(A67,2)</f>
        <v>42</v>
      </c>
      <c r="C67" t="s">
        <v>49</v>
      </c>
      <c r="D67" s="1"/>
      <c r="E67" s="1"/>
      <c r="F67" s="1"/>
      <c r="G67" s="1"/>
      <c r="H67" s="1"/>
      <c r="I67" s="1"/>
      <c r="J67" t="s">
        <v>51</v>
      </c>
      <c r="K67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52EC-12CF-AD4E-8D3E-4102E8179202}">
  <dimension ref="A1:F158"/>
  <sheetViews>
    <sheetView topLeftCell="A41" workbookViewId="0"/>
  </sheetViews>
  <sheetFormatPr baseColWidth="10" defaultRowHeight="16" x14ac:dyDescent="0.2"/>
  <cols>
    <col min="3" max="3" width="100" bestFit="1" customWidth="1"/>
  </cols>
  <sheetData>
    <row r="1" spans="1:3" x14ac:dyDescent="0.2">
      <c r="A1" t="s">
        <v>56</v>
      </c>
      <c r="C1" t="s">
        <v>57</v>
      </c>
    </row>
    <row r="2" spans="1:3" x14ac:dyDescent="0.2">
      <c r="A2">
        <v>1</v>
      </c>
      <c r="B2" t="str">
        <f>DEC2HEX(A2,2)</f>
        <v>01</v>
      </c>
      <c r="C2" t="s">
        <v>58</v>
      </c>
    </row>
    <row r="3" spans="1:3" x14ac:dyDescent="0.2">
      <c r="A3">
        <v>2</v>
      </c>
      <c r="B3" t="str">
        <f t="shared" ref="B3:B66" si="0">DEC2HEX(A3,2)</f>
        <v>02</v>
      </c>
      <c r="C3" t="s">
        <v>59</v>
      </c>
    </row>
    <row r="4" spans="1:3" x14ac:dyDescent="0.2">
      <c r="A4">
        <v>3</v>
      </c>
      <c r="B4" t="str">
        <f t="shared" si="0"/>
        <v>03</v>
      </c>
      <c r="C4" t="s">
        <v>60</v>
      </c>
    </row>
    <row r="5" spans="1:3" x14ac:dyDescent="0.2">
      <c r="A5">
        <v>4</v>
      </c>
      <c r="B5" t="str">
        <f t="shared" si="0"/>
        <v>04</v>
      </c>
      <c r="C5" t="s">
        <v>61</v>
      </c>
    </row>
    <row r="6" spans="1:3" x14ac:dyDescent="0.2">
      <c r="A6">
        <v>5</v>
      </c>
      <c r="B6" t="str">
        <f t="shared" si="0"/>
        <v>05</v>
      </c>
      <c r="C6" t="s">
        <v>62</v>
      </c>
    </row>
    <row r="7" spans="1:3" x14ac:dyDescent="0.2">
      <c r="A7">
        <v>6</v>
      </c>
      <c r="B7" t="str">
        <f t="shared" si="0"/>
        <v>06</v>
      </c>
      <c r="C7" t="s">
        <v>63</v>
      </c>
    </row>
    <row r="8" spans="1:3" x14ac:dyDescent="0.2">
      <c r="A8">
        <v>7</v>
      </c>
      <c r="B8" t="str">
        <f t="shared" si="0"/>
        <v>07</v>
      </c>
      <c r="C8" t="s">
        <v>64</v>
      </c>
    </row>
    <row r="9" spans="1:3" x14ac:dyDescent="0.2">
      <c r="A9">
        <v>8</v>
      </c>
      <c r="B9" t="str">
        <f t="shared" si="0"/>
        <v>08</v>
      </c>
      <c r="C9" t="s">
        <v>65</v>
      </c>
    </row>
    <row r="10" spans="1:3" x14ac:dyDescent="0.2">
      <c r="A10">
        <v>9</v>
      </c>
      <c r="B10" t="str">
        <f t="shared" si="0"/>
        <v>09</v>
      </c>
      <c r="C10" t="s">
        <v>66</v>
      </c>
    </row>
    <row r="11" spans="1:3" x14ac:dyDescent="0.2">
      <c r="A11">
        <v>10</v>
      </c>
      <c r="B11" t="str">
        <f t="shared" si="0"/>
        <v>0A</v>
      </c>
      <c r="C11" t="s">
        <v>67</v>
      </c>
    </row>
    <row r="12" spans="1:3" x14ac:dyDescent="0.2">
      <c r="A12">
        <v>11</v>
      </c>
      <c r="B12" t="str">
        <f t="shared" si="0"/>
        <v>0B</v>
      </c>
      <c r="C12" t="s">
        <v>68</v>
      </c>
    </row>
    <row r="13" spans="1:3" x14ac:dyDescent="0.2">
      <c r="A13">
        <v>12</v>
      </c>
      <c r="B13" t="str">
        <f t="shared" si="0"/>
        <v>0C</v>
      </c>
      <c r="C13" t="s">
        <v>69</v>
      </c>
    </row>
    <row r="14" spans="1:3" x14ac:dyDescent="0.2">
      <c r="A14">
        <v>13</v>
      </c>
      <c r="B14" t="str">
        <f t="shared" si="0"/>
        <v>0D</v>
      </c>
      <c r="C14" t="s">
        <v>70</v>
      </c>
    </row>
    <row r="15" spans="1:3" x14ac:dyDescent="0.2">
      <c r="A15">
        <v>14</v>
      </c>
      <c r="B15" t="str">
        <f t="shared" si="0"/>
        <v>0E</v>
      </c>
      <c r="C15" t="s">
        <v>71</v>
      </c>
    </row>
    <row r="16" spans="1:3" x14ac:dyDescent="0.2">
      <c r="A16">
        <v>15</v>
      </c>
      <c r="B16" t="str">
        <f t="shared" si="0"/>
        <v>0F</v>
      </c>
      <c r="C16" t="s">
        <v>72</v>
      </c>
    </row>
    <row r="17" spans="1:3" x14ac:dyDescent="0.2">
      <c r="A17">
        <v>16</v>
      </c>
      <c r="B17" t="str">
        <f t="shared" si="0"/>
        <v>10</v>
      </c>
      <c r="C17" t="s">
        <v>73</v>
      </c>
    </row>
    <row r="18" spans="1:3" x14ac:dyDescent="0.2">
      <c r="A18">
        <v>17</v>
      </c>
      <c r="B18" t="str">
        <f t="shared" si="0"/>
        <v>11</v>
      </c>
      <c r="C18" t="s">
        <v>74</v>
      </c>
    </row>
    <row r="19" spans="1:3" x14ac:dyDescent="0.2">
      <c r="A19">
        <v>18</v>
      </c>
      <c r="B19" t="str">
        <f t="shared" si="0"/>
        <v>12</v>
      </c>
      <c r="C19" t="s">
        <v>75</v>
      </c>
    </row>
    <row r="20" spans="1:3" x14ac:dyDescent="0.2">
      <c r="A20">
        <v>19</v>
      </c>
      <c r="B20" t="str">
        <f t="shared" si="0"/>
        <v>13</v>
      </c>
      <c r="C20" t="s">
        <v>76</v>
      </c>
    </row>
    <row r="21" spans="1:3" x14ac:dyDescent="0.2">
      <c r="A21">
        <v>20</v>
      </c>
      <c r="B21" t="str">
        <f t="shared" si="0"/>
        <v>14</v>
      </c>
      <c r="C21" t="s">
        <v>77</v>
      </c>
    </row>
    <row r="22" spans="1:3" x14ac:dyDescent="0.2">
      <c r="A22">
        <v>21</v>
      </c>
      <c r="B22" t="str">
        <f t="shared" si="0"/>
        <v>15</v>
      </c>
      <c r="C22" t="s">
        <v>77</v>
      </c>
    </row>
    <row r="23" spans="1:3" x14ac:dyDescent="0.2">
      <c r="A23">
        <v>22</v>
      </c>
      <c r="B23" t="str">
        <f t="shared" si="0"/>
        <v>16</v>
      </c>
      <c r="C23" t="s">
        <v>77</v>
      </c>
    </row>
    <row r="24" spans="1:3" x14ac:dyDescent="0.2">
      <c r="A24">
        <v>23</v>
      </c>
      <c r="B24" t="str">
        <f t="shared" si="0"/>
        <v>17</v>
      </c>
      <c r="C24" t="s">
        <v>77</v>
      </c>
    </row>
    <row r="25" spans="1:3" x14ac:dyDescent="0.2">
      <c r="A25">
        <v>24</v>
      </c>
      <c r="B25" t="str">
        <f t="shared" si="0"/>
        <v>18</v>
      </c>
      <c r="C25" t="s">
        <v>77</v>
      </c>
    </row>
    <row r="26" spans="1:3" x14ac:dyDescent="0.2">
      <c r="A26">
        <v>25</v>
      </c>
      <c r="B26" t="str">
        <f t="shared" si="0"/>
        <v>19</v>
      </c>
      <c r="C26" t="s">
        <v>77</v>
      </c>
    </row>
    <row r="27" spans="1:3" x14ac:dyDescent="0.2">
      <c r="A27">
        <v>26</v>
      </c>
      <c r="B27" t="str">
        <f t="shared" si="0"/>
        <v>1A</v>
      </c>
      <c r="C27" t="s">
        <v>77</v>
      </c>
    </row>
    <row r="28" spans="1:3" x14ac:dyDescent="0.2">
      <c r="A28">
        <v>27</v>
      </c>
      <c r="B28" t="str">
        <f t="shared" si="0"/>
        <v>1B</v>
      </c>
      <c r="C28" t="s">
        <v>77</v>
      </c>
    </row>
    <row r="29" spans="1:3" x14ac:dyDescent="0.2">
      <c r="A29">
        <v>28</v>
      </c>
      <c r="B29" t="str">
        <f t="shared" si="0"/>
        <v>1C</v>
      </c>
      <c r="C29" t="s">
        <v>77</v>
      </c>
    </row>
    <row r="30" spans="1:3" x14ac:dyDescent="0.2">
      <c r="A30">
        <v>29</v>
      </c>
      <c r="B30" t="str">
        <f t="shared" si="0"/>
        <v>1D</v>
      </c>
      <c r="C30" t="s">
        <v>77</v>
      </c>
    </row>
    <row r="31" spans="1:3" x14ac:dyDescent="0.2">
      <c r="A31">
        <v>30</v>
      </c>
      <c r="B31" t="str">
        <f t="shared" si="0"/>
        <v>1E</v>
      </c>
      <c r="C31" t="s">
        <v>77</v>
      </c>
    </row>
    <row r="32" spans="1:3" x14ac:dyDescent="0.2">
      <c r="A32">
        <v>31</v>
      </c>
      <c r="B32" t="str">
        <f t="shared" si="0"/>
        <v>1F</v>
      </c>
      <c r="C32" t="s">
        <v>77</v>
      </c>
    </row>
    <row r="33" spans="1:3" x14ac:dyDescent="0.2">
      <c r="A33">
        <v>32</v>
      </c>
      <c r="B33" t="str">
        <f t="shared" si="0"/>
        <v>20</v>
      </c>
      <c r="C33" t="s">
        <v>78</v>
      </c>
    </row>
    <row r="34" spans="1:3" x14ac:dyDescent="0.2">
      <c r="A34">
        <v>33</v>
      </c>
      <c r="B34" t="str">
        <f t="shared" si="0"/>
        <v>21</v>
      </c>
      <c r="C34" t="s">
        <v>79</v>
      </c>
    </row>
    <row r="35" spans="1:3" x14ac:dyDescent="0.2">
      <c r="A35">
        <v>34</v>
      </c>
      <c r="B35" t="str">
        <f t="shared" si="0"/>
        <v>22</v>
      </c>
      <c r="C35" t="s">
        <v>80</v>
      </c>
    </row>
    <row r="36" spans="1:3" x14ac:dyDescent="0.2">
      <c r="A36">
        <v>35</v>
      </c>
      <c r="B36" t="str">
        <f t="shared" si="0"/>
        <v>23</v>
      </c>
      <c r="C36" t="s">
        <v>81</v>
      </c>
    </row>
    <row r="37" spans="1:3" x14ac:dyDescent="0.2">
      <c r="A37">
        <v>36</v>
      </c>
      <c r="B37" t="str">
        <f t="shared" si="0"/>
        <v>24</v>
      </c>
      <c r="C37" t="s">
        <v>82</v>
      </c>
    </row>
    <row r="38" spans="1:3" x14ac:dyDescent="0.2">
      <c r="A38">
        <v>37</v>
      </c>
      <c r="B38" t="str">
        <f t="shared" si="0"/>
        <v>25</v>
      </c>
      <c r="C38" t="s">
        <v>83</v>
      </c>
    </row>
    <row r="39" spans="1:3" x14ac:dyDescent="0.2">
      <c r="A39">
        <v>38</v>
      </c>
      <c r="B39" t="str">
        <f t="shared" si="0"/>
        <v>26</v>
      </c>
      <c r="C39" t="s">
        <v>84</v>
      </c>
    </row>
    <row r="40" spans="1:3" x14ac:dyDescent="0.2">
      <c r="A40">
        <v>39</v>
      </c>
      <c r="B40" t="str">
        <f t="shared" si="0"/>
        <v>27</v>
      </c>
      <c r="C40" t="s">
        <v>85</v>
      </c>
    </row>
    <row r="41" spans="1:3" x14ac:dyDescent="0.2">
      <c r="A41">
        <v>40</v>
      </c>
      <c r="B41" t="str">
        <f t="shared" si="0"/>
        <v>28</v>
      </c>
      <c r="C41" t="s">
        <v>86</v>
      </c>
    </row>
    <row r="42" spans="1:3" x14ac:dyDescent="0.2">
      <c r="A42">
        <v>41</v>
      </c>
      <c r="B42" t="str">
        <f t="shared" si="0"/>
        <v>29</v>
      </c>
      <c r="C42" t="s">
        <v>87</v>
      </c>
    </row>
    <row r="43" spans="1:3" x14ac:dyDescent="0.2">
      <c r="A43">
        <v>42</v>
      </c>
      <c r="B43" t="str">
        <f t="shared" si="0"/>
        <v>2A</v>
      </c>
      <c r="C43" t="s">
        <v>88</v>
      </c>
    </row>
    <row r="44" spans="1:3" x14ac:dyDescent="0.2">
      <c r="A44">
        <v>43</v>
      </c>
      <c r="B44" t="str">
        <f t="shared" si="0"/>
        <v>2B</v>
      </c>
      <c r="C44" t="s">
        <v>89</v>
      </c>
    </row>
    <row r="45" spans="1:3" x14ac:dyDescent="0.2">
      <c r="A45">
        <v>44</v>
      </c>
      <c r="B45" t="str">
        <f t="shared" si="0"/>
        <v>2C</v>
      </c>
      <c r="C45" t="s">
        <v>90</v>
      </c>
    </row>
    <row r="46" spans="1:3" x14ac:dyDescent="0.2">
      <c r="A46">
        <v>45</v>
      </c>
      <c r="B46" t="str">
        <f t="shared" si="0"/>
        <v>2D</v>
      </c>
      <c r="C46" t="s">
        <v>91</v>
      </c>
    </row>
    <row r="47" spans="1:3" x14ac:dyDescent="0.2">
      <c r="A47">
        <v>46</v>
      </c>
      <c r="B47" t="str">
        <f t="shared" si="0"/>
        <v>2E</v>
      </c>
      <c r="C47" t="s">
        <v>92</v>
      </c>
    </row>
    <row r="48" spans="1:3" x14ac:dyDescent="0.2">
      <c r="A48">
        <v>47</v>
      </c>
      <c r="B48" t="str">
        <f t="shared" si="0"/>
        <v>2F</v>
      </c>
      <c r="C48" t="s">
        <v>93</v>
      </c>
    </row>
    <row r="49" spans="1:6" x14ac:dyDescent="0.2">
      <c r="A49">
        <v>48</v>
      </c>
      <c r="B49" t="str">
        <f t="shared" si="0"/>
        <v>30</v>
      </c>
      <c r="C49" t="s">
        <v>94</v>
      </c>
    </row>
    <row r="50" spans="1:6" x14ac:dyDescent="0.2">
      <c r="A50">
        <v>49</v>
      </c>
      <c r="B50" t="str">
        <f t="shared" si="0"/>
        <v>31</v>
      </c>
      <c r="C50" t="s">
        <v>95</v>
      </c>
    </row>
    <row r="51" spans="1:6" x14ac:dyDescent="0.2">
      <c r="A51">
        <v>50</v>
      </c>
      <c r="B51" t="str">
        <f t="shared" si="0"/>
        <v>32</v>
      </c>
      <c r="C51" t="s">
        <v>96</v>
      </c>
      <c r="D51">
        <v>1</v>
      </c>
      <c r="E51" t="s">
        <v>404</v>
      </c>
      <c r="F51" t="s">
        <v>424</v>
      </c>
    </row>
    <row r="52" spans="1:6" x14ac:dyDescent="0.2">
      <c r="A52">
        <v>51</v>
      </c>
      <c r="B52" t="str">
        <f t="shared" si="0"/>
        <v>33</v>
      </c>
      <c r="C52" t="s">
        <v>97</v>
      </c>
      <c r="D52">
        <v>2</v>
      </c>
      <c r="E52" t="s">
        <v>405</v>
      </c>
    </row>
    <row r="53" spans="1:6" x14ac:dyDescent="0.2">
      <c r="A53">
        <v>52</v>
      </c>
      <c r="B53" t="str">
        <f t="shared" si="0"/>
        <v>34</v>
      </c>
      <c r="C53" t="s">
        <v>98</v>
      </c>
      <c r="D53">
        <v>3</v>
      </c>
      <c r="E53" t="s">
        <v>406</v>
      </c>
    </row>
    <row r="54" spans="1:6" x14ac:dyDescent="0.2">
      <c r="A54">
        <v>53</v>
      </c>
      <c r="B54" t="str">
        <f t="shared" si="0"/>
        <v>35</v>
      </c>
      <c r="C54" t="s">
        <v>99</v>
      </c>
      <c r="D54">
        <v>4</v>
      </c>
      <c r="E54" t="s">
        <v>7</v>
      </c>
    </row>
    <row r="55" spans="1:6" x14ac:dyDescent="0.2">
      <c r="A55">
        <v>54</v>
      </c>
      <c r="B55" t="str">
        <f t="shared" si="0"/>
        <v>36</v>
      </c>
      <c r="C55" t="s">
        <v>100</v>
      </c>
      <c r="D55">
        <v>5</v>
      </c>
      <c r="E55" t="s">
        <v>4</v>
      </c>
    </row>
    <row r="56" spans="1:6" x14ac:dyDescent="0.2">
      <c r="A56">
        <v>55</v>
      </c>
      <c r="B56" t="str">
        <f t="shared" si="0"/>
        <v>37</v>
      </c>
      <c r="C56" t="s">
        <v>101</v>
      </c>
      <c r="D56">
        <v>6</v>
      </c>
      <c r="E56" t="s">
        <v>407</v>
      </c>
    </row>
    <row r="57" spans="1:6" x14ac:dyDescent="0.2">
      <c r="A57">
        <v>56</v>
      </c>
      <c r="B57" t="str">
        <f t="shared" si="0"/>
        <v>38</v>
      </c>
      <c r="C57" t="s">
        <v>102</v>
      </c>
      <c r="D57">
        <v>7</v>
      </c>
      <c r="E57" t="s">
        <v>408</v>
      </c>
    </row>
    <row r="58" spans="1:6" x14ac:dyDescent="0.2">
      <c r="A58">
        <v>57</v>
      </c>
      <c r="B58" t="str">
        <f t="shared" si="0"/>
        <v>39</v>
      </c>
      <c r="C58" t="s">
        <v>103</v>
      </c>
      <c r="D58">
        <v>8</v>
      </c>
      <c r="E58" t="s">
        <v>409</v>
      </c>
    </row>
    <row r="59" spans="1:6" x14ac:dyDescent="0.2">
      <c r="A59">
        <v>58</v>
      </c>
      <c r="B59" t="str">
        <f t="shared" si="0"/>
        <v>3A</v>
      </c>
      <c r="C59" t="s">
        <v>104</v>
      </c>
      <c r="D59">
        <v>9</v>
      </c>
      <c r="E59" t="s">
        <v>410</v>
      </c>
    </row>
    <row r="60" spans="1:6" x14ac:dyDescent="0.2">
      <c r="A60">
        <v>59</v>
      </c>
      <c r="B60" t="str">
        <f t="shared" si="0"/>
        <v>3B</v>
      </c>
      <c r="C60" t="s">
        <v>105</v>
      </c>
      <c r="D60">
        <v>10</v>
      </c>
      <c r="E60" t="s">
        <v>411</v>
      </c>
    </row>
    <row r="61" spans="1:6" x14ac:dyDescent="0.2">
      <c r="A61">
        <v>60</v>
      </c>
      <c r="B61" t="str">
        <f t="shared" si="0"/>
        <v>3C</v>
      </c>
      <c r="C61" t="s">
        <v>106</v>
      </c>
      <c r="D61">
        <v>11</v>
      </c>
      <c r="E61" t="s">
        <v>412</v>
      </c>
    </row>
    <row r="62" spans="1:6" x14ac:dyDescent="0.2">
      <c r="A62">
        <v>61</v>
      </c>
      <c r="B62" t="str">
        <f t="shared" si="0"/>
        <v>3D</v>
      </c>
      <c r="C62" t="s">
        <v>107</v>
      </c>
      <c r="D62">
        <v>12</v>
      </c>
      <c r="E62" t="s">
        <v>413</v>
      </c>
    </row>
    <row r="63" spans="1:6" x14ac:dyDescent="0.2">
      <c r="A63">
        <v>62</v>
      </c>
      <c r="B63" t="str">
        <f t="shared" si="0"/>
        <v>3E</v>
      </c>
      <c r="C63" t="s">
        <v>108</v>
      </c>
      <c r="D63">
        <v>13</v>
      </c>
      <c r="E63" t="s">
        <v>414</v>
      </c>
    </row>
    <row r="64" spans="1:6" x14ac:dyDescent="0.2">
      <c r="A64">
        <v>63</v>
      </c>
      <c r="B64" t="str">
        <f t="shared" si="0"/>
        <v>3F</v>
      </c>
      <c r="C64" t="s">
        <v>109</v>
      </c>
      <c r="D64">
        <v>14</v>
      </c>
      <c r="E64" t="s">
        <v>2</v>
      </c>
    </row>
    <row r="65" spans="1:5" x14ac:dyDescent="0.2">
      <c r="A65">
        <v>64</v>
      </c>
      <c r="B65" t="str">
        <f t="shared" si="0"/>
        <v>40</v>
      </c>
      <c r="C65" t="s">
        <v>110</v>
      </c>
      <c r="D65">
        <v>15</v>
      </c>
      <c r="E65" t="s">
        <v>415</v>
      </c>
    </row>
    <row r="66" spans="1:5" x14ac:dyDescent="0.2">
      <c r="A66">
        <v>65</v>
      </c>
      <c r="B66" t="str">
        <f t="shared" si="0"/>
        <v>41</v>
      </c>
      <c r="C66" t="s">
        <v>111</v>
      </c>
      <c r="D66">
        <v>16</v>
      </c>
      <c r="E66" t="s">
        <v>416</v>
      </c>
    </row>
    <row r="67" spans="1:5" x14ac:dyDescent="0.2">
      <c r="A67">
        <v>66</v>
      </c>
      <c r="B67" t="str">
        <f t="shared" ref="B67:B130" si="1">DEC2HEX(A67,2)</f>
        <v>42</v>
      </c>
      <c r="C67" t="s">
        <v>112</v>
      </c>
      <c r="D67">
        <v>17</v>
      </c>
      <c r="E67" t="s">
        <v>417</v>
      </c>
    </row>
    <row r="68" spans="1:5" x14ac:dyDescent="0.2">
      <c r="A68">
        <v>67</v>
      </c>
      <c r="B68" t="str">
        <f t="shared" si="1"/>
        <v>43</v>
      </c>
      <c r="C68" t="s">
        <v>113</v>
      </c>
      <c r="D68">
        <v>18</v>
      </c>
      <c r="E68" t="s">
        <v>418</v>
      </c>
    </row>
    <row r="69" spans="1:5" x14ac:dyDescent="0.2">
      <c r="A69">
        <v>68</v>
      </c>
      <c r="B69" t="str">
        <f t="shared" si="1"/>
        <v>44</v>
      </c>
      <c r="C69" t="s">
        <v>114</v>
      </c>
      <c r="D69">
        <v>19</v>
      </c>
      <c r="E69" t="s">
        <v>3</v>
      </c>
    </row>
    <row r="70" spans="1:5" x14ac:dyDescent="0.2">
      <c r="A70">
        <v>69</v>
      </c>
      <c r="B70" t="str">
        <f t="shared" si="1"/>
        <v>45</v>
      </c>
      <c r="C70" t="s">
        <v>115</v>
      </c>
      <c r="D70">
        <v>20</v>
      </c>
      <c r="E70" t="s">
        <v>419</v>
      </c>
    </row>
    <row r="71" spans="1:5" x14ac:dyDescent="0.2">
      <c r="A71">
        <v>70</v>
      </c>
      <c r="B71" t="str">
        <f t="shared" si="1"/>
        <v>46</v>
      </c>
      <c r="C71" t="s">
        <v>116</v>
      </c>
      <c r="D71">
        <v>21</v>
      </c>
      <c r="E71" t="s">
        <v>6</v>
      </c>
    </row>
    <row r="72" spans="1:5" x14ac:dyDescent="0.2">
      <c r="A72">
        <v>71</v>
      </c>
      <c r="B72" t="str">
        <f t="shared" si="1"/>
        <v>47</v>
      </c>
      <c r="C72" t="s">
        <v>117</v>
      </c>
      <c r="D72">
        <v>22</v>
      </c>
      <c r="E72" t="s">
        <v>420</v>
      </c>
    </row>
    <row r="73" spans="1:5" x14ac:dyDescent="0.2">
      <c r="A73">
        <v>72</v>
      </c>
      <c r="B73" t="str">
        <f t="shared" si="1"/>
        <v>48</v>
      </c>
      <c r="C73" t="s">
        <v>118</v>
      </c>
      <c r="D73">
        <v>23</v>
      </c>
      <c r="E73" t="s">
        <v>5</v>
      </c>
    </row>
    <row r="74" spans="1:5" x14ac:dyDescent="0.2">
      <c r="A74">
        <v>73</v>
      </c>
      <c r="B74" t="str">
        <f t="shared" si="1"/>
        <v>49</v>
      </c>
      <c r="C74" t="s">
        <v>119</v>
      </c>
      <c r="D74">
        <v>24</v>
      </c>
      <c r="E74" t="s">
        <v>421</v>
      </c>
    </row>
    <row r="75" spans="1:5" x14ac:dyDescent="0.2">
      <c r="A75">
        <v>74</v>
      </c>
      <c r="B75" t="str">
        <f t="shared" si="1"/>
        <v>4A</v>
      </c>
      <c r="C75" t="s">
        <v>120</v>
      </c>
      <c r="D75">
        <v>25</v>
      </c>
      <c r="E75" t="s">
        <v>422</v>
      </c>
    </row>
    <row r="76" spans="1:5" x14ac:dyDescent="0.2">
      <c r="A76">
        <v>75</v>
      </c>
      <c r="B76" t="str">
        <f t="shared" si="1"/>
        <v>4B</v>
      </c>
      <c r="C76" t="s">
        <v>121</v>
      </c>
      <c r="D76">
        <v>26</v>
      </c>
      <c r="E76" t="s">
        <v>423</v>
      </c>
    </row>
    <row r="77" spans="1:5" x14ac:dyDescent="0.2">
      <c r="A77">
        <v>76</v>
      </c>
      <c r="B77" t="str">
        <f t="shared" si="1"/>
        <v>4C</v>
      </c>
      <c r="C77" t="s">
        <v>122</v>
      </c>
    </row>
    <row r="78" spans="1:5" x14ac:dyDescent="0.2">
      <c r="A78">
        <v>77</v>
      </c>
      <c r="B78" t="str">
        <f t="shared" si="1"/>
        <v>4D</v>
      </c>
      <c r="C78" t="s">
        <v>123</v>
      </c>
    </row>
    <row r="79" spans="1:5" x14ac:dyDescent="0.2">
      <c r="A79">
        <v>78</v>
      </c>
      <c r="B79" t="str">
        <f t="shared" si="1"/>
        <v>4E</v>
      </c>
      <c r="C79" t="s">
        <v>124</v>
      </c>
    </row>
    <row r="80" spans="1:5" x14ac:dyDescent="0.2">
      <c r="A80">
        <v>79</v>
      </c>
      <c r="B80" t="str">
        <f t="shared" si="1"/>
        <v>4F</v>
      </c>
      <c r="C80" t="s">
        <v>125</v>
      </c>
    </row>
    <row r="81" spans="1:3" x14ac:dyDescent="0.2">
      <c r="A81">
        <v>80</v>
      </c>
      <c r="B81" t="str">
        <f t="shared" si="1"/>
        <v>50</v>
      </c>
      <c r="C81" t="s">
        <v>126</v>
      </c>
    </row>
    <row r="82" spans="1:3" x14ac:dyDescent="0.2">
      <c r="A82">
        <v>81</v>
      </c>
      <c r="B82" t="str">
        <f t="shared" si="1"/>
        <v>51</v>
      </c>
      <c r="C82" t="s">
        <v>127</v>
      </c>
    </row>
    <row r="83" spans="1:3" x14ac:dyDescent="0.2">
      <c r="A83">
        <v>82</v>
      </c>
      <c r="B83" t="str">
        <f t="shared" si="1"/>
        <v>52</v>
      </c>
      <c r="C83" t="s">
        <v>128</v>
      </c>
    </row>
    <row r="84" spans="1:3" x14ac:dyDescent="0.2">
      <c r="A84">
        <v>83</v>
      </c>
      <c r="B84" t="str">
        <f t="shared" si="1"/>
        <v>53</v>
      </c>
      <c r="C84" t="s">
        <v>129</v>
      </c>
    </row>
    <row r="85" spans="1:3" x14ac:dyDescent="0.2">
      <c r="A85">
        <v>84</v>
      </c>
      <c r="B85" t="str">
        <f t="shared" si="1"/>
        <v>54</v>
      </c>
      <c r="C85" t="s">
        <v>130</v>
      </c>
    </row>
    <row r="86" spans="1:3" x14ac:dyDescent="0.2">
      <c r="A86">
        <v>85</v>
      </c>
      <c r="B86" t="str">
        <f t="shared" si="1"/>
        <v>55</v>
      </c>
      <c r="C86" t="s">
        <v>131</v>
      </c>
    </row>
    <row r="87" spans="1:3" x14ac:dyDescent="0.2">
      <c r="A87">
        <v>86</v>
      </c>
      <c r="B87" t="str">
        <f t="shared" si="1"/>
        <v>56</v>
      </c>
      <c r="C87" t="s">
        <v>132</v>
      </c>
    </row>
    <row r="88" spans="1:3" x14ac:dyDescent="0.2">
      <c r="A88">
        <v>87</v>
      </c>
      <c r="B88" t="str">
        <f t="shared" si="1"/>
        <v>57</v>
      </c>
      <c r="C88" t="s">
        <v>133</v>
      </c>
    </row>
    <row r="89" spans="1:3" x14ac:dyDescent="0.2">
      <c r="A89">
        <v>88</v>
      </c>
      <c r="B89" t="str">
        <f t="shared" si="1"/>
        <v>58</v>
      </c>
      <c r="C89" t="s">
        <v>134</v>
      </c>
    </row>
    <row r="90" spans="1:3" x14ac:dyDescent="0.2">
      <c r="A90">
        <v>89</v>
      </c>
      <c r="B90" t="str">
        <f t="shared" si="1"/>
        <v>59</v>
      </c>
      <c r="C90" t="s">
        <v>135</v>
      </c>
    </row>
    <row r="91" spans="1:3" x14ac:dyDescent="0.2">
      <c r="A91">
        <v>90</v>
      </c>
      <c r="B91" t="str">
        <f t="shared" si="1"/>
        <v>5A</v>
      </c>
      <c r="C91" t="s">
        <v>136</v>
      </c>
    </row>
    <row r="92" spans="1:3" x14ac:dyDescent="0.2">
      <c r="A92">
        <v>91</v>
      </c>
      <c r="B92" t="str">
        <f t="shared" si="1"/>
        <v>5B</v>
      </c>
      <c r="C92" t="s">
        <v>137</v>
      </c>
    </row>
    <row r="93" spans="1:3" x14ac:dyDescent="0.2">
      <c r="A93">
        <v>92</v>
      </c>
      <c r="B93" t="str">
        <f t="shared" si="1"/>
        <v>5C</v>
      </c>
      <c r="C93" t="s">
        <v>138</v>
      </c>
    </row>
    <row r="94" spans="1:3" x14ac:dyDescent="0.2">
      <c r="A94">
        <v>93</v>
      </c>
      <c r="B94" t="str">
        <f t="shared" si="1"/>
        <v>5D</v>
      </c>
      <c r="C94" t="s">
        <v>139</v>
      </c>
    </row>
    <row r="95" spans="1:3" x14ac:dyDescent="0.2">
      <c r="A95">
        <v>94</v>
      </c>
      <c r="B95" t="str">
        <f t="shared" si="1"/>
        <v>5E</v>
      </c>
      <c r="C95" t="s">
        <v>140</v>
      </c>
    </row>
    <row r="96" spans="1:3" x14ac:dyDescent="0.2">
      <c r="A96">
        <v>95</v>
      </c>
      <c r="B96" t="str">
        <f t="shared" si="1"/>
        <v>5F</v>
      </c>
      <c r="C96" t="s">
        <v>141</v>
      </c>
    </row>
    <row r="97" spans="1:3" x14ac:dyDescent="0.2">
      <c r="A97">
        <v>96</v>
      </c>
      <c r="B97" t="str">
        <f t="shared" si="1"/>
        <v>60</v>
      </c>
      <c r="C97" t="s">
        <v>142</v>
      </c>
    </row>
    <row r="98" spans="1:3" x14ac:dyDescent="0.2">
      <c r="A98">
        <v>97</v>
      </c>
      <c r="B98" t="str">
        <f t="shared" si="1"/>
        <v>61</v>
      </c>
      <c r="C98" t="s">
        <v>143</v>
      </c>
    </row>
    <row r="99" spans="1:3" x14ac:dyDescent="0.2">
      <c r="A99">
        <v>98</v>
      </c>
      <c r="B99" t="str">
        <f t="shared" si="1"/>
        <v>62</v>
      </c>
      <c r="C99" t="s">
        <v>144</v>
      </c>
    </row>
    <row r="100" spans="1:3" x14ac:dyDescent="0.2">
      <c r="A100">
        <v>99</v>
      </c>
      <c r="B100" t="str">
        <f t="shared" si="1"/>
        <v>63</v>
      </c>
      <c r="C100" t="s">
        <v>145</v>
      </c>
    </row>
    <row r="101" spans="1:3" x14ac:dyDescent="0.2">
      <c r="A101">
        <v>100</v>
      </c>
      <c r="B101" t="str">
        <f t="shared" si="1"/>
        <v>64</v>
      </c>
      <c r="C101" t="s">
        <v>146</v>
      </c>
    </row>
    <row r="102" spans="1:3" x14ac:dyDescent="0.2">
      <c r="A102">
        <v>101</v>
      </c>
      <c r="B102" t="str">
        <f t="shared" si="1"/>
        <v>65</v>
      </c>
      <c r="C102" t="s">
        <v>147</v>
      </c>
    </row>
    <row r="103" spans="1:3" x14ac:dyDescent="0.2">
      <c r="A103">
        <v>102</v>
      </c>
      <c r="B103" t="str">
        <f t="shared" si="1"/>
        <v>66</v>
      </c>
      <c r="C103" t="s">
        <v>148</v>
      </c>
    </row>
    <row r="104" spans="1:3" x14ac:dyDescent="0.2">
      <c r="A104">
        <v>103</v>
      </c>
      <c r="B104" t="str">
        <f t="shared" si="1"/>
        <v>67</v>
      </c>
      <c r="C104" t="s">
        <v>149</v>
      </c>
    </row>
    <row r="105" spans="1:3" x14ac:dyDescent="0.2">
      <c r="A105">
        <v>104</v>
      </c>
      <c r="B105" t="str">
        <f t="shared" si="1"/>
        <v>68</v>
      </c>
      <c r="C105" t="s">
        <v>150</v>
      </c>
    </row>
    <row r="106" spans="1:3" x14ac:dyDescent="0.2">
      <c r="A106">
        <v>105</v>
      </c>
      <c r="B106" t="str">
        <f t="shared" si="1"/>
        <v>69</v>
      </c>
      <c r="C106" t="s">
        <v>151</v>
      </c>
    </row>
    <row r="107" spans="1:3" x14ac:dyDescent="0.2">
      <c r="A107">
        <v>106</v>
      </c>
      <c r="B107" t="str">
        <f t="shared" si="1"/>
        <v>6A</v>
      </c>
      <c r="C107" t="s">
        <v>152</v>
      </c>
    </row>
    <row r="108" spans="1:3" x14ac:dyDescent="0.2">
      <c r="A108">
        <v>107</v>
      </c>
      <c r="B108" t="str">
        <f t="shared" si="1"/>
        <v>6B</v>
      </c>
      <c r="C108" t="s">
        <v>153</v>
      </c>
    </row>
    <row r="109" spans="1:3" x14ac:dyDescent="0.2">
      <c r="A109">
        <v>108</v>
      </c>
      <c r="B109" t="str">
        <f t="shared" si="1"/>
        <v>6C</v>
      </c>
      <c r="C109" t="s">
        <v>154</v>
      </c>
    </row>
    <row r="110" spans="1:3" x14ac:dyDescent="0.2">
      <c r="A110">
        <v>109</v>
      </c>
      <c r="B110" t="str">
        <f t="shared" si="1"/>
        <v>6D</v>
      </c>
      <c r="C110" t="s">
        <v>155</v>
      </c>
    </row>
    <row r="111" spans="1:3" x14ac:dyDescent="0.2">
      <c r="A111">
        <v>110</v>
      </c>
      <c r="B111" t="str">
        <f t="shared" si="1"/>
        <v>6E</v>
      </c>
      <c r="C111" t="s">
        <v>156</v>
      </c>
    </row>
    <row r="112" spans="1:3" x14ac:dyDescent="0.2">
      <c r="A112">
        <v>111</v>
      </c>
      <c r="B112" t="str">
        <f t="shared" si="1"/>
        <v>6F</v>
      </c>
      <c r="C112" t="s">
        <v>157</v>
      </c>
    </row>
    <row r="113" spans="1:3" x14ac:dyDescent="0.2">
      <c r="A113">
        <v>112</v>
      </c>
      <c r="B113" t="str">
        <f t="shared" si="1"/>
        <v>70</v>
      </c>
      <c r="C113" t="s">
        <v>158</v>
      </c>
    </row>
    <row r="114" spans="1:3" x14ac:dyDescent="0.2">
      <c r="A114">
        <v>113</v>
      </c>
      <c r="B114" t="str">
        <f t="shared" si="1"/>
        <v>71</v>
      </c>
      <c r="C114" t="s">
        <v>159</v>
      </c>
    </row>
    <row r="115" spans="1:3" x14ac:dyDescent="0.2">
      <c r="A115">
        <v>114</v>
      </c>
      <c r="B115" t="str">
        <f t="shared" si="1"/>
        <v>72</v>
      </c>
      <c r="C115" t="s">
        <v>160</v>
      </c>
    </row>
    <row r="116" spans="1:3" x14ac:dyDescent="0.2">
      <c r="A116">
        <v>115</v>
      </c>
      <c r="B116" t="str">
        <f t="shared" si="1"/>
        <v>73</v>
      </c>
      <c r="C116" t="s">
        <v>161</v>
      </c>
    </row>
    <row r="117" spans="1:3" x14ac:dyDescent="0.2">
      <c r="A117">
        <v>116</v>
      </c>
      <c r="B117" t="str">
        <f t="shared" si="1"/>
        <v>74</v>
      </c>
      <c r="C117" t="s">
        <v>162</v>
      </c>
    </row>
    <row r="118" spans="1:3" x14ac:dyDescent="0.2">
      <c r="A118">
        <v>117</v>
      </c>
      <c r="B118" t="str">
        <f t="shared" si="1"/>
        <v>75</v>
      </c>
      <c r="C118" t="s">
        <v>163</v>
      </c>
    </row>
    <row r="119" spans="1:3" x14ac:dyDescent="0.2">
      <c r="A119">
        <v>118</v>
      </c>
      <c r="B119" t="str">
        <f t="shared" si="1"/>
        <v>76</v>
      </c>
      <c r="C119" t="s">
        <v>164</v>
      </c>
    </row>
    <row r="120" spans="1:3" x14ac:dyDescent="0.2">
      <c r="A120">
        <v>119</v>
      </c>
      <c r="B120" t="str">
        <f t="shared" si="1"/>
        <v>77</v>
      </c>
      <c r="C120" t="s">
        <v>165</v>
      </c>
    </row>
    <row r="121" spans="1:3" x14ac:dyDescent="0.2">
      <c r="A121">
        <v>120</v>
      </c>
      <c r="B121" t="str">
        <f t="shared" si="1"/>
        <v>78</v>
      </c>
      <c r="C121" t="s">
        <v>166</v>
      </c>
    </row>
    <row r="122" spans="1:3" x14ac:dyDescent="0.2">
      <c r="A122">
        <v>121</v>
      </c>
      <c r="B122" t="str">
        <f t="shared" si="1"/>
        <v>79</v>
      </c>
      <c r="C122" t="s">
        <v>167</v>
      </c>
    </row>
    <row r="123" spans="1:3" x14ac:dyDescent="0.2">
      <c r="A123">
        <v>122</v>
      </c>
      <c r="B123" t="str">
        <f t="shared" si="1"/>
        <v>7A</v>
      </c>
      <c r="C123" t="s">
        <v>168</v>
      </c>
    </row>
    <row r="124" spans="1:3" x14ac:dyDescent="0.2">
      <c r="A124">
        <v>123</v>
      </c>
      <c r="B124" t="str">
        <f t="shared" si="1"/>
        <v>7B</v>
      </c>
      <c r="C124" t="s">
        <v>169</v>
      </c>
    </row>
    <row r="125" spans="1:3" x14ac:dyDescent="0.2">
      <c r="A125">
        <v>124</v>
      </c>
      <c r="B125" t="str">
        <f t="shared" si="1"/>
        <v>7C</v>
      </c>
      <c r="C125" t="s">
        <v>170</v>
      </c>
    </row>
    <row r="126" spans="1:3" x14ac:dyDescent="0.2">
      <c r="A126">
        <v>125</v>
      </c>
      <c r="B126" t="str">
        <f t="shared" si="1"/>
        <v>7D</v>
      </c>
      <c r="C126" t="s">
        <v>171</v>
      </c>
    </row>
    <row r="127" spans="1:3" x14ac:dyDescent="0.2">
      <c r="A127">
        <v>126</v>
      </c>
      <c r="B127" t="str">
        <f t="shared" si="1"/>
        <v>7E</v>
      </c>
      <c r="C127" t="s">
        <v>172</v>
      </c>
    </row>
    <row r="128" spans="1:3" x14ac:dyDescent="0.2">
      <c r="A128">
        <v>127</v>
      </c>
      <c r="B128" t="str">
        <f t="shared" si="1"/>
        <v>7F</v>
      </c>
      <c r="C128" t="s">
        <v>173</v>
      </c>
    </row>
    <row r="129" spans="1:3" x14ac:dyDescent="0.2">
      <c r="A129">
        <v>128</v>
      </c>
      <c r="B129" t="str">
        <f t="shared" si="1"/>
        <v>80</v>
      </c>
      <c r="C129" t="s">
        <v>174</v>
      </c>
    </row>
    <row r="130" spans="1:3" x14ac:dyDescent="0.2">
      <c r="A130">
        <v>129</v>
      </c>
      <c r="B130" t="str">
        <f t="shared" si="1"/>
        <v>81</v>
      </c>
      <c r="C130" t="s">
        <v>175</v>
      </c>
    </row>
    <row r="131" spans="1:3" x14ac:dyDescent="0.2">
      <c r="A131">
        <v>130</v>
      </c>
      <c r="B131" t="str">
        <f t="shared" ref="B131:B158" si="2">DEC2HEX(A131,2)</f>
        <v>82</v>
      </c>
      <c r="C131" t="s">
        <v>176</v>
      </c>
    </row>
    <row r="132" spans="1:3" x14ac:dyDescent="0.2">
      <c r="A132">
        <v>131</v>
      </c>
      <c r="B132" t="str">
        <f t="shared" si="2"/>
        <v>83</v>
      </c>
      <c r="C132" t="s">
        <v>177</v>
      </c>
    </row>
    <row r="133" spans="1:3" x14ac:dyDescent="0.2">
      <c r="A133">
        <v>132</v>
      </c>
      <c r="B133" t="str">
        <f t="shared" si="2"/>
        <v>84</v>
      </c>
      <c r="C133" t="s">
        <v>178</v>
      </c>
    </row>
    <row r="134" spans="1:3" x14ac:dyDescent="0.2">
      <c r="A134">
        <v>133</v>
      </c>
      <c r="B134" t="str">
        <f t="shared" si="2"/>
        <v>85</v>
      </c>
      <c r="C134" t="s">
        <v>179</v>
      </c>
    </row>
    <row r="135" spans="1:3" x14ac:dyDescent="0.2">
      <c r="A135">
        <v>134</v>
      </c>
      <c r="B135" t="str">
        <f t="shared" si="2"/>
        <v>86</v>
      </c>
      <c r="C135" t="s">
        <v>180</v>
      </c>
    </row>
    <row r="136" spans="1:3" x14ac:dyDescent="0.2">
      <c r="A136">
        <v>135</v>
      </c>
      <c r="B136" t="str">
        <f t="shared" si="2"/>
        <v>87</v>
      </c>
      <c r="C136" t="s">
        <v>181</v>
      </c>
    </row>
    <row r="137" spans="1:3" x14ac:dyDescent="0.2">
      <c r="A137">
        <v>136</v>
      </c>
      <c r="B137" t="str">
        <f t="shared" si="2"/>
        <v>88</v>
      </c>
      <c r="C137" t="s">
        <v>182</v>
      </c>
    </row>
    <row r="138" spans="1:3" x14ac:dyDescent="0.2">
      <c r="A138">
        <v>137</v>
      </c>
      <c r="B138" t="str">
        <f t="shared" si="2"/>
        <v>89</v>
      </c>
      <c r="C138" t="s">
        <v>117</v>
      </c>
    </row>
    <row r="139" spans="1:3" x14ac:dyDescent="0.2">
      <c r="A139">
        <v>138</v>
      </c>
      <c r="B139" t="str">
        <f t="shared" si="2"/>
        <v>8A</v>
      </c>
      <c r="C139" t="s">
        <v>183</v>
      </c>
    </row>
    <row r="140" spans="1:3" x14ac:dyDescent="0.2">
      <c r="A140">
        <v>139</v>
      </c>
      <c r="B140" t="str">
        <f t="shared" si="2"/>
        <v>8B</v>
      </c>
      <c r="C140" t="s">
        <v>184</v>
      </c>
    </row>
    <row r="141" spans="1:3" x14ac:dyDescent="0.2">
      <c r="A141">
        <v>140</v>
      </c>
      <c r="B141" t="str">
        <f t="shared" si="2"/>
        <v>8C</v>
      </c>
      <c r="C141" t="s">
        <v>185</v>
      </c>
    </row>
    <row r="142" spans="1:3" x14ac:dyDescent="0.2">
      <c r="A142">
        <v>141</v>
      </c>
      <c r="B142" t="str">
        <f t="shared" si="2"/>
        <v>8D</v>
      </c>
      <c r="C142" t="s">
        <v>186</v>
      </c>
    </row>
    <row r="143" spans="1:3" x14ac:dyDescent="0.2">
      <c r="A143">
        <v>142</v>
      </c>
      <c r="B143" t="str">
        <f t="shared" si="2"/>
        <v>8E</v>
      </c>
      <c r="C143" t="s">
        <v>187</v>
      </c>
    </row>
    <row r="144" spans="1:3" x14ac:dyDescent="0.2">
      <c r="A144">
        <v>143</v>
      </c>
      <c r="B144" t="str">
        <f t="shared" si="2"/>
        <v>8F</v>
      </c>
      <c r="C144" t="s">
        <v>188</v>
      </c>
    </row>
    <row r="145" spans="1:3" x14ac:dyDescent="0.2">
      <c r="A145">
        <v>144</v>
      </c>
      <c r="B145" t="str">
        <f t="shared" si="2"/>
        <v>90</v>
      </c>
      <c r="C145" t="s">
        <v>189</v>
      </c>
    </row>
    <row r="146" spans="1:3" x14ac:dyDescent="0.2">
      <c r="A146">
        <v>145</v>
      </c>
      <c r="B146" t="str">
        <f t="shared" si="2"/>
        <v>91</v>
      </c>
      <c r="C146" t="s">
        <v>190</v>
      </c>
    </row>
    <row r="147" spans="1:3" x14ac:dyDescent="0.2">
      <c r="A147">
        <v>146</v>
      </c>
      <c r="B147" t="str">
        <f t="shared" si="2"/>
        <v>92</v>
      </c>
      <c r="C147" t="s">
        <v>191</v>
      </c>
    </row>
    <row r="148" spans="1:3" x14ac:dyDescent="0.2">
      <c r="A148">
        <v>147</v>
      </c>
      <c r="B148" t="str">
        <f t="shared" si="2"/>
        <v>93</v>
      </c>
      <c r="C148" t="s">
        <v>192</v>
      </c>
    </row>
    <row r="149" spans="1:3" x14ac:dyDescent="0.2">
      <c r="A149">
        <v>148</v>
      </c>
      <c r="B149" t="str">
        <f t="shared" si="2"/>
        <v>94</v>
      </c>
      <c r="C149" t="s">
        <v>193</v>
      </c>
    </row>
    <row r="150" spans="1:3" x14ac:dyDescent="0.2">
      <c r="A150">
        <v>149</v>
      </c>
      <c r="B150" t="str">
        <f t="shared" si="2"/>
        <v>95</v>
      </c>
      <c r="C150" t="s">
        <v>194</v>
      </c>
    </row>
    <row r="151" spans="1:3" x14ac:dyDescent="0.2">
      <c r="A151">
        <v>150</v>
      </c>
      <c r="B151" t="str">
        <f t="shared" si="2"/>
        <v>96</v>
      </c>
      <c r="C151" t="s">
        <v>195</v>
      </c>
    </row>
    <row r="152" spans="1:3" x14ac:dyDescent="0.2">
      <c r="A152">
        <v>151</v>
      </c>
      <c r="B152" t="str">
        <f t="shared" si="2"/>
        <v>97</v>
      </c>
      <c r="C152" t="s">
        <v>196</v>
      </c>
    </row>
    <row r="153" spans="1:3" x14ac:dyDescent="0.2">
      <c r="A153">
        <v>152</v>
      </c>
      <c r="B153" t="str">
        <f t="shared" si="2"/>
        <v>98</v>
      </c>
      <c r="C153" t="s">
        <v>197</v>
      </c>
    </row>
    <row r="154" spans="1:3" x14ac:dyDescent="0.2">
      <c r="A154">
        <v>153</v>
      </c>
      <c r="B154" t="str">
        <f t="shared" si="2"/>
        <v>99</v>
      </c>
      <c r="C154" t="s">
        <v>198</v>
      </c>
    </row>
    <row r="155" spans="1:3" x14ac:dyDescent="0.2">
      <c r="A155">
        <v>154</v>
      </c>
      <c r="B155" t="str">
        <f t="shared" si="2"/>
        <v>9A</v>
      </c>
      <c r="C155" t="s">
        <v>199</v>
      </c>
    </row>
    <row r="156" spans="1:3" x14ac:dyDescent="0.2">
      <c r="A156">
        <v>155</v>
      </c>
      <c r="B156" t="str">
        <f t="shared" si="2"/>
        <v>9B</v>
      </c>
      <c r="C156" t="s">
        <v>200</v>
      </c>
    </row>
    <row r="157" spans="1:3" x14ac:dyDescent="0.2">
      <c r="A157">
        <v>156</v>
      </c>
      <c r="B157" t="str">
        <f t="shared" si="2"/>
        <v>9C</v>
      </c>
      <c r="C157" t="s">
        <v>201</v>
      </c>
    </row>
    <row r="158" spans="1:3" x14ac:dyDescent="0.2">
      <c r="A158">
        <v>157</v>
      </c>
      <c r="B158" t="str">
        <f t="shared" si="2"/>
        <v>9D</v>
      </c>
      <c r="C158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53E8-A669-2B4B-B0DF-360DCAE9CCB7}">
  <dimension ref="A1:D64"/>
  <sheetViews>
    <sheetView zoomScale="110" zoomScaleNormal="110" workbookViewId="0"/>
  </sheetViews>
  <sheetFormatPr baseColWidth="10" defaultRowHeight="16" x14ac:dyDescent="0.2"/>
  <cols>
    <col min="3" max="4" width="52" bestFit="1" customWidth="1"/>
  </cols>
  <sheetData>
    <row r="1" spans="1:4" x14ac:dyDescent="0.2">
      <c r="A1" t="s">
        <v>56</v>
      </c>
      <c r="C1" t="s">
        <v>427</v>
      </c>
      <c r="D1" t="s">
        <v>428</v>
      </c>
    </row>
    <row r="2" spans="1:4" x14ac:dyDescent="0.2">
      <c r="A2">
        <v>1</v>
      </c>
      <c r="B2" t="str">
        <f>DEC2HEX(A2,2)</f>
        <v>01</v>
      </c>
      <c r="C2" t="s">
        <v>426</v>
      </c>
      <c r="D2" t="s">
        <v>261</v>
      </c>
    </row>
    <row r="3" spans="1:4" x14ac:dyDescent="0.2">
      <c r="A3">
        <v>2</v>
      </c>
      <c r="B3" t="str">
        <f t="shared" ref="B3:B63" si="0">DEC2HEX(A3,2)</f>
        <v>02</v>
      </c>
      <c r="C3" t="s">
        <v>323</v>
      </c>
      <c r="D3" t="s">
        <v>262</v>
      </c>
    </row>
    <row r="4" spans="1:4" x14ac:dyDescent="0.2">
      <c r="A4">
        <v>3</v>
      </c>
      <c r="B4" t="str">
        <f t="shared" si="0"/>
        <v>03</v>
      </c>
      <c r="C4" t="s">
        <v>324</v>
      </c>
      <c r="D4" t="s">
        <v>263</v>
      </c>
    </row>
    <row r="5" spans="1:4" x14ac:dyDescent="0.2">
      <c r="A5">
        <v>4</v>
      </c>
      <c r="B5" t="str">
        <f t="shared" si="0"/>
        <v>04</v>
      </c>
      <c r="C5" t="s">
        <v>325</v>
      </c>
      <c r="D5" t="s">
        <v>264</v>
      </c>
    </row>
    <row r="6" spans="1:4" x14ac:dyDescent="0.2">
      <c r="A6">
        <v>5</v>
      </c>
      <c r="B6" t="str">
        <f t="shared" si="0"/>
        <v>05</v>
      </c>
      <c r="C6" t="s">
        <v>326</v>
      </c>
      <c r="D6" t="s">
        <v>265</v>
      </c>
    </row>
    <row r="7" spans="1:4" x14ac:dyDescent="0.2">
      <c r="A7">
        <v>6</v>
      </c>
      <c r="B7" t="str">
        <f t="shared" si="0"/>
        <v>06</v>
      </c>
      <c r="C7" t="s">
        <v>327</v>
      </c>
      <c r="D7" t="s">
        <v>266</v>
      </c>
    </row>
    <row r="8" spans="1:4" x14ac:dyDescent="0.2">
      <c r="A8">
        <v>7</v>
      </c>
      <c r="B8" t="str">
        <f t="shared" si="0"/>
        <v>07</v>
      </c>
      <c r="C8" t="s">
        <v>328</v>
      </c>
      <c r="D8" t="s">
        <v>267</v>
      </c>
    </row>
    <row r="9" spans="1:4" x14ac:dyDescent="0.2">
      <c r="A9">
        <v>8</v>
      </c>
      <c r="B9" t="str">
        <f t="shared" si="0"/>
        <v>08</v>
      </c>
      <c r="C9" t="s">
        <v>329</v>
      </c>
      <c r="D9" t="s">
        <v>268</v>
      </c>
    </row>
    <row r="10" spans="1:4" x14ac:dyDescent="0.2">
      <c r="A10">
        <v>9</v>
      </c>
      <c r="B10" t="str">
        <f t="shared" si="0"/>
        <v>09</v>
      </c>
      <c r="C10" t="s">
        <v>330</v>
      </c>
      <c r="D10" t="s">
        <v>269</v>
      </c>
    </row>
    <row r="11" spans="1:4" x14ac:dyDescent="0.2">
      <c r="A11">
        <v>10</v>
      </c>
      <c r="B11" t="str">
        <f t="shared" si="0"/>
        <v>0A</v>
      </c>
      <c r="C11" t="s">
        <v>331</v>
      </c>
      <c r="D11" t="s">
        <v>270</v>
      </c>
    </row>
    <row r="12" spans="1:4" x14ac:dyDescent="0.2">
      <c r="A12">
        <v>11</v>
      </c>
      <c r="B12" t="str">
        <f t="shared" si="0"/>
        <v>0B</v>
      </c>
      <c r="C12" t="s">
        <v>332</v>
      </c>
      <c r="D12" t="s">
        <v>271</v>
      </c>
    </row>
    <row r="13" spans="1:4" x14ac:dyDescent="0.2">
      <c r="A13">
        <v>12</v>
      </c>
      <c r="B13" t="str">
        <f t="shared" si="0"/>
        <v>0C</v>
      </c>
      <c r="C13" t="s">
        <v>333</v>
      </c>
      <c r="D13" t="s">
        <v>272</v>
      </c>
    </row>
    <row r="14" spans="1:4" x14ac:dyDescent="0.2">
      <c r="A14">
        <v>13</v>
      </c>
      <c r="B14" t="str">
        <f t="shared" si="0"/>
        <v>0D</v>
      </c>
      <c r="C14" t="s">
        <v>334</v>
      </c>
      <c r="D14" t="s">
        <v>273</v>
      </c>
    </row>
    <row r="15" spans="1:4" x14ac:dyDescent="0.2">
      <c r="A15">
        <v>14</v>
      </c>
      <c r="B15" t="str">
        <f t="shared" si="0"/>
        <v>0E</v>
      </c>
      <c r="C15" t="s">
        <v>335</v>
      </c>
      <c r="D15" t="s">
        <v>274</v>
      </c>
    </row>
    <row r="16" spans="1:4" x14ac:dyDescent="0.2">
      <c r="A16">
        <v>15</v>
      </c>
      <c r="B16" t="str">
        <f t="shared" si="0"/>
        <v>0F</v>
      </c>
      <c r="C16" t="s">
        <v>336</v>
      </c>
      <c r="D16" t="s">
        <v>275</v>
      </c>
    </row>
    <row r="17" spans="1:4" x14ac:dyDescent="0.2">
      <c r="A17">
        <v>16</v>
      </c>
      <c r="B17" t="str">
        <f t="shared" si="0"/>
        <v>10</v>
      </c>
      <c r="C17" t="s">
        <v>337</v>
      </c>
      <c r="D17" t="s">
        <v>276</v>
      </c>
    </row>
    <row r="18" spans="1:4" x14ac:dyDescent="0.2">
      <c r="A18">
        <v>17</v>
      </c>
      <c r="B18" t="str">
        <f t="shared" si="0"/>
        <v>11</v>
      </c>
      <c r="C18" t="s">
        <v>338</v>
      </c>
      <c r="D18" t="s">
        <v>277</v>
      </c>
    </row>
    <row r="19" spans="1:4" x14ac:dyDescent="0.2">
      <c r="A19">
        <v>18</v>
      </c>
      <c r="B19" t="str">
        <f t="shared" si="0"/>
        <v>12</v>
      </c>
      <c r="C19" t="s">
        <v>339</v>
      </c>
      <c r="D19" t="s">
        <v>278</v>
      </c>
    </row>
    <row r="20" spans="1:4" x14ac:dyDescent="0.2">
      <c r="A20">
        <v>19</v>
      </c>
      <c r="B20" t="str">
        <f t="shared" si="0"/>
        <v>13</v>
      </c>
      <c r="C20" t="s">
        <v>340</v>
      </c>
      <c r="D20" t="s">
        <v>279</v>
      </c>
    </row>
    <row r="21" spans="1:4" x14ac:dyDescent="0.2">
      <c r="A21">
        <v>20</v>
      </c>
      <c r="B21" t="str">
        <f t="shared" si="0"/>
        <v>14</v>
      </c>
      <c r="C21" t="s">
        <v>341</v>
      </c>
      <c r="D21" t="s">
        <v>280</v>
      </c>
    </row>
    <row r="22" spans="1:4" x14ac:dyDescent="0.2">
      <c r="A22">
        <v>21</v>
      </c>
      <c r="B22" t="str">
        <f t="shared" si="0"/>
        <v>15</v>
      </c>
      <c r="C22" t="s">
        <v>342</v>
      </c>
      <c r="D22" t="s">
        <v>281</v>
      </c>
    </row>
    <row r="23" spans="1:4" x14ac:dyDescent="0.2">
      <c r="A23">
        <v>22</v>
      </c>
      <c r="B23" t="str">
        <f t="shared" si="0"/>
        <v>16</v>
      </c>
      <c r="C23" t="s">
        <v>343</v>
      </c>
      <c r="D23" t="s">
        <v>282</v>
      </c>
    </row>
    <row r="24" spans="1:4" x14ac:dyDescent="0.2">
      <c r="A24">
        <v>23</v>
      </c>
      <c r="B24" t="str">
        <f t="shared" si="0"/>
        <v>17</v>
      </c>
      <c r="C24" t="s">
        <v>344</v>
      </c>
      <c r="D24" t="s">
        <v>283</v>
      </c>
    </row>
    <row r="25" spans="1:4" x14ac:dyDescent="0.2">
      <c r="A25">
        <v>24</v>
      </c>
      <c r="B25" t="str">
        <f t="shared" si="0"/>
        <v>18</v>
      </c>
      <c r="C25" t="s">
        <v>345</v>
      </c>
      <c r="D25" t="s">
        <v>284</v>
      </c>
    </row>
    <row r="26" spans="1:4" x14ac:dyDescent="0.2">
      <c r="A26">
        <v>25</v>
      </c>
      <c r="B26" t="str">
        <f t="shared" si="0"/>
        <v>19</v>
      </c>
      <c r="C26" t="s">
        <v>346</v>
      </c>
      <c r="D26" t="s">
        <v>285</v>
      </c>
    </row>
    <row r="27" spans="1:4" x14ac:dyDescent="0.2">
      <c r="A27">
        <v>26</v>
      </c>
      <c r="B27" t="str">
        <f t="shared" si="0"/>
        <v>1A</v>
      </c>
      <c r="C27" t="s">
        <v>347</v>
      </c>
      <c r="D27" t="s">
        <v>286</v>
      </c>
    </row>
    <row r="28" spans="1:4" x14ac:dyDescent="0.2">
      <c r="A28">
        <v>27</v>
      </c>
      <c r="B28" t="str">
        <f t="shared" si="0"/>
        <v>1B</v>
      </c>
      <c r="C28" t="s">
        <v>269</v>
      </c>
      <c r="D28" t="s">
        <v>287</v>
      </c>
    </row>
    <row r="29" spans="1:4" x14ac:dyDescent="0.2">
      <c r="A29">
        <v>28</v>
      </c>
      <c r="B29" t="str">
        <f t="shared" si="0"/>
        <v>1C</v>
      </c>
      <c r="C29" t="s">
        <v>348</v>
      </c>
      <c r="D29" t="s">
        <v>288</v>
      </c>
    </row>
    <row r="30" spans="1:4" x14ac:dyDescent="0.2">
      <c r="A30">
        <v>29</v>
      </c>
      <c r="B30" t="str">
        <f t="shared" si="0"/>
        <v>1D</v>
      </c>
      <c r="C30" t="s">
        <v>349</v>
      </c>
      <c r="D30" t="s">
        <v>289</v>
      </c>
    </row>
    <row r="31" spans="1:4" x14ac:dyDescent="0.2">
      <c r="A31">
        <v>30</v>
      </c>
      <c r="B31" t="str">
        <f t="shared" si="0"/>
        <v>1E</v>
      </c>
      <c r="C31" t="s">
        <v>350</v>
      </c>
      <c r="D31" t="s">
        <v>290</v>
      </c>
    </row>
    <row r="32" spans="1:4" x14ac:dyDescent="0.2">
      <c r="A32">
        <v>31</v>
      </c>
      <c r="B32" t="str">
        <f t="shared" si="0"/>
        <v>1F</v>
      </c>
      <c r="C32" t="s">
        <v>351</v>
      </c>
      <c r="D32" t="s">
        <v>291</v>
      </c>
    </row>
    <row r="33" spans="1:4" x14ac:dyDescent="0.2">
      <c r="A33">
        <v>32</v>
      </c>
      <c r="B33" t="str">
        <f t="shared" si="0"/>
        <v>20</v>
      </c>
      <c r="C33" t="s">
        <v>352</v>
      </c>
      <c r="D33" t="s">
        <v>292</v>
      </c>
    </row>
    <row r="34" spans="1:4" x14ac:dyDescent="0.2">
      <c r="A34">
        <v>33</v>
      </c>
      <c r="B34" t="str">
        <f t="shared" si="0"/>
        <v>21</v>
      </c>
      <c r="C34" t="s">
        <v>353</v>
      </c>
      <c r="D34" t="s">
        <v>293</v>
      </c>
    </row>
    <row r="35" spans="1:4" x14ac:dyDescent="0.2">
      <c r="A35">
        <v>34</v>
      </c>
      <c r="B35" t="str">
        <f t="shared" si="0"/>
        <v>22</v>
      </c>
      <c r="C35" t="s">
        <v>354</v>
      </c>
      <c r="D35" t="s">
        <v>294</v>
      </c>
    </row>
    <row r="36" spans="1:4" x14ac:dyDescent="0.2">
      <c r="A36">
        <v>35</v>
      </c>
      <c r="B36" t="str">
        <f t="shared" si="0"/>
        <v>23</v>
      </c>
      <c r="C36" t="s">
        <v>355</v>
      </c>
      <c r="D36" t="s">
        <v>295</v>
      </c>
    </row>
    <row r="37" spans="1:4" x14ac:dyDescent="0.2">
      <c r="A37">
        <v>36</v>
      </c>
      <c r="B37" t="str">
        <f t="shared" si="0"/>
        <v>24</v>
      </c>
      <c r="C37" t="s">
        <v>350</v>
      </c>
      <c r="D37" t="s">
        <v>296</v>
      </c>
    </row>
    <row r="38" spans="1:4" x14ac:dyDescent="0.2">
      <c r="A38">
        <v>37</v>
      </c>
      <c r="B38" t="str">
        <f t="shared" si="0"/>
        <v>25</v>
      </c>
      <c r="C38" t="s">
        <v>356</v>
      </c>
      <c r="D38" t="s">
        <v>297</v>
      </c>
    </row>
    <row r="39" spans="1:4" x14ac:dyDescent="0.2">
      <c r="A39">
        <v>38</v>
      </c>
      <c r="B39" t="str">
        <f t="shared" si="0"/>
        <v>26</v>
      </c>
      <c r="C39" t="s">
        <v>357</v>
      </c>
      <c r="D39" t="s">
        <v>298</v>
      </c>
    </row>
    <row r="40" spans="1:4" x14ac:dyDescent="0.2">
      <c r="A40">
        <v>39</v>
      </c>
      <c r="B40" t="str">
        <f t="shared" si="0"/>
        <v>27</v>
      </c>
      <c r="C40" t="s">
        <v>358</v>
      </c>
      <c r="D40" t="s">
        <v>299</v>
      </c>
    </row>
    <row r="41" spans="1:4" x14ac:dyDescent="0.2">
      <c r="A41">
        <v>40</v>
      </c>
      <c r="B41" t="str">
        <f t="shared" si="0"/>
        <v>28</v>
      </c>
      <c r="C41" t="s">
        <v>359</v>
      </c>
      <c r="D41" t="s">
        <v>300</v>
      </c>
    </row>
    <row r="42" spans="1:4" x14ac:dyDescent="0.2">
      <c r="A42">
        <v>41</v>
      </c>
      <c r="B42" t="str">
        <f t="shared" si="0"/>
        <v>29</v>
      </c>
      <c r="C42" t="s">
        <v>360</v>
      </c>
      <c r="D42" t="s">
        <v>301</v>
      </c>
    </row>
    <row r="43" spans="1:4" x14ac:dyDescent="0.2">
      <c r="A43">
        <v>42</v>
      </c>
      <c r="B43" t="str">
        <f t="shared" si="0"/>
        <v>2A</v>
      </c>
      <c r="C43" t="s">
        <v>361</v>
      </c>
      <c r="D43" t="s">
        <v>302</v>
      </c>
    </row>
    <row r="44" spans="1:4" x14ac:dyDescent="0.2">
      <c r="A44">
        <v>43</v>
      </c>
      <c r="B44" t="str">
        <f t="shared" si="0"/>
        <v>2B</v>
      </c>
      <c r="D44" t="s">
        <v>303</v>
      </c>
    </row>
    <row r="45" spans="1:4" x14ac:dyDescent="0.2">
      <c r="A45">
        <v>44</v>
      </c>
      <c r="B45" t="str">
        <f t="shared" si="0"/>
        <v>2C</v>
      </c>
      <c r="D45" t="s">
        <v>304</v>
      </c>
    </row>
    <row r="46" spans="1:4" x14ac:dyDescent="0.2">
      <c r="A46">
        <v>45</v>
      </c>
      <c r="B46" t="str">
        <f t="shared" si="0"/>
        <v>2D</v>
      </c>
      <c r="D46" t="s">
        <v>305</v>
      </c>
    </row>
    <row r="47" spans="1:4" x14ac:dyDescent="0.2">
      <c r="A47">
        <v>46</v>
      </c>
      <c r="B47" t="str">
        <f t="shared" si="0"/>
        <v>2E</v>
      </c>
      <c r="D47" t="s">
        <v>306</v>
      </c>
    </row>
    <row r="48" spans="1:4" x14ac:dyDescent="0.2">
      <c r="A48">
        <v>47</v>
      </c>
      <c r="B48" t="str">
        <f t="shared" si="0"/>
        <v>2F</v>
      </c>
      <c r="D48" t="s">
        <v>307</v>
      </c>
    </row>
    <row r="49" spans="1:4" x14ac:dyDescent="0.2">
      <c r="A49">
        <v>48</v>
      </c>
      <c r="B49" t="str">
        <f t="shared" si="0"/>
        <v>30</v>
      </c>
      <c r="D49" t="s">
        <v>308</v>
      </c>
    </row>
    <row r="50" spans="1:4" x14ac:dyDescent="0.2">
      <c r="A50">
        <v>49</v>
      </c>
      <c r="B50" t="str">
        <f t="shared" si="0"/>
        <v>31</v>
      </c>
      <c r="D50" t="s">
        <v>309</v>
      </c>
    </row>
    <row r="51" spans="1:4" x14ac:dyDescent="0.2">
      <c r="A51">
        <v>50</v>
      </c>
      <c r="B51" t="str">
        <f t="shared" si="0"/>
        <v>32</v>
      </c>
      <c r="D51" t="s">
        <v>310</v>
      </c>
    </row>
    <row r="52" spans="1:4" x14ac:dyDescent="0.2">
      <c r="A52">
        <v>51</v>
      </c>
      <c r="B52" t="str">
        <f t="shared" si="0"/>
        <v>33</v>
      </c>
      <c r="D52" t="s">
        <v>311</v>
      </c>
    </row>
    <row r="53" spans="1:4" x14ac:dyDescent="0.2">
      <c r="A53">
        <v>52</v>
      </c>
      <c r="B53" t="str">
        <f t="shared" si="0"/>
        <v>34</v>
      </c>
      <c r="D53" t="s">
        <v>312</v>
      </c>
    </row>
    <row r="54" spans="1:4" x14ac:dyDescent="0.2">
      <c r="A54">
        <v>53</v>
      </c>
      <c r="B54" t="str">
        <f t="shared" si="0"/>
        <v>35</v>
      </c>
      <c r="D54" t="s">
        <v>313</v>
      </c>
    </row>
    <row r="55" spans="1:4" x14ac:dyDescent="0.2">
      <c r="A55">
        <v>54</v>
      </c>
      <c r="B55" t="str">
        <f t="shared" si="0"/>
        <v>36</v>
      </c>
      <c r="D55" t="s">
        <v>314</v>
      </c>
    </row>
    <row r="56" spans="1:4" x14ac:dyDescent="0.2">
      <c r="A56">
        <v>55</v>
      </c>
      <c r="B56" t="str">
        <f t="shared" si="0"/>
        <v>37</v>
      </c>
      <c r="D56" t="s">
        <v>315</v>
      </c>
    </row>
    <row r="57" spans="1:4" x14ac:dyDescent="0.2">
      <c r="A57">
        <v>56</v>
      </c>
      <c r="B57" t="str">
        <f t="shared" si="0"/>
        <v>38</v>
      </c>
      <c r="D57" t="s">
        <v>316</v>
      </c>
    </row>
    <row r="58" spans="1:4" x14ac:dyDescent="0.2">
      <c r="A58">
        <v>57</v>
      </c>
      <c r="B58" t="str">
        <f t="shared" si="0"/>
        <v>39</v>
      </c>
      <c r="D58" t="s">
        <v>317</v>
      </c>
    </row>
    <row r="59" spans="1:4" x14ac:dyDescent="0.2">
      <c r="A59">
        <v>58</v>
      </c>
      <c r="B59" t="str">
        <f t="shared" si="0"/>
        <v>3A</v>
      </c>
      <c r="D59" t="s">
        <v>318</v>
      </c>
    </row>
    <row r="60" spans="1:4" x14ac:dyDescent="0.2">
      <c r="A60">
        <v>59</v>
      </c>
      <c r="B60" t="str">
        <f t="shared" si="0"/>
        <v>3B</v>
      </c>
      <c r="D60" t="s">
        <v>319</v>
      </c>
    </row>
    <row r="61" spans="1:4" x14ac:dyDescent="0.2">
      <c r="A61">
        <v>60</v>
      </c>
      <c r="B61" t="str">
        <f t="shared" si="0"/>
        <v>3C</v>
      </c>
      <c r="D61" t="s">
        <v>320</v>
      </c>
    </row>
    <row r="62" spans="1:4" x14ac:dyDescent="0.2">
      <c r="A62">
        <v>61</v>
      </c>
      <c r="B62" t="str">
        <f t="shared" si="0"/>
        <v>3D</v>
      </c>
      <c r="D62" t="s">
        <v>321</v>
      </c>
    </row>
    <row r="63" spans="1:4" x14ac:dyDescent="0.2">
      <c r="A63">
        <v>62</v>
      </c>
      <c r="B63" t="str">
        <f t="shared" si="0"/>
        <v>3E</v>
      </c>
      <c r="D63" t="s">
        <v>322</v>
      </c>
    </row>
    <row r="64" spans="1:4" x14ac:dyDescent="0.2">
      <c r="A64">
        <v>63</v>
      </c>
      <c r="B64" t="str">
        <f t="shared" ref="B64" si="1">DEC2HEX(A64,2)</f>
        <v>3F</v>
      </c>
      <c r="D64" t="s">
        <v>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81AA-80E2-7C44-AC5A-FE3F43E39CAA}">
  <dimension ref="A1:C42"/>
  <sheetViews>
    <sheetView topLeftCell="A21" workbookViewId="0">
      <selection sqref="A1:C3"/>
    </sheetView>
  </sheetViews>
  <sheetFormatPr baseColWidth="10" defaultRowHeight="16" x14ac:dyDescent="0.2"/>
  <sheetData>
    <row r="1" spans="1:3" x14ac:dyDescent="0.2">
      <c r="A1" t="s">
        <v>56</v>
      </c>
      <c r="C1" t="s">
        <v>362</v>
      </c>
    </row>
    <row r="2" spans="1:3" x14ac:dyDescent="0.2">
      <c r="A2">
        <v>1</v>
      </c>
      <c r="B2" t="str">
        <f>DEC2HEX(A2,2)</f>
        <v>01</v>
      </c>
      <c r="C2" t="s">
        <v>363</v>
      </c>
    </row>
    <row r="3" spans="1:3" x14ac:dyDescent="0.2">
      <c r="A3">
        <v>2</v>
      </c>
      <c r="B3" t="str">
        <f t="shared" ref="B3:B42" si="0">DEC2HEX(A3,2)</f>
        <v>02</v>
      </c>
      <c r="C3" t="s">
        <v>364</v>
      </c>
    </row>
    <row r="4" spans="1:3" x14ac:dyDescent="0.2">
      <c r="A4">
        <v>3</v>
      </c>
      <c r="B4" t="str">
        <f t="shared" si="0"/>
        <v>03</v>
      </c>
      <c r="C4" t="s">
        <v>365</v>
      </c>
    </row>
    <row r="5" spans="1:3" x14ac:dyDescent="0.2">
      <c r="A5">
        <v>4</v>
      </c>
      <c r="B5" t="str">
        <f t="shared" si="0"/>
        <v>04</v>
      </c>
      <c r="C5" t="s">
        <v>366</v>
      </c>
    </row>
    <row r="6" spans="1:3" x14ac:dyDescent="0.2">
      <c r="A6">
        <v>5</v>
      </c>
      <c r="B6" t="str">
        <f t="shared" si="0"/>
        <v>05</v>
      </c>
      <c r="C6" t="s">
        <v>367</v>
      </c>
    </row>
    <row r="7" spans="1:3" x14ac:dyDescent="0.2">
      <c r="A7">
        <v>6</v>
      </c>
      <c r="B7" t="str">
        <f t="shared" si="0"/>
        <v>06</v>
      </c>
      <c r="C7" t="s">
        <v>368</v>
      </c>
    </row>
    <row r="8" spans="1:3" x14ac:dyDescent="0.2">
      <c r="A8">
        <v>7</v>
      </c>
      <c r="B8" t="str">
        <f t="shared" si="0"/>
        <v>07</v>
      </c>
      <c r="C8" t="s">
        <v>369</v>
      </c>
    </row>
    <row r="9" spans="1:3" x14ac:dyDescent="0.2">
      <c r="A9">
        <v>8</v>
      </c>
      <c r="B9" t="str">
        <f t="shared" si="0"/>
        <v>08</v>
      </c>
      <c r="C9" t="s">
        <v>370</v>
      </c>
    </row>
    <row r="10" spans="1:3" x14ac:dyDescent="0.2">
      <c r="A10">
        <v>9</v>
      </c>
      <c r="B10" t="str">
        <f t="shared" si="0"/>
        <v>09</v>
      </c>
      <c r="C10" t="s">
        <v>371</v>
      </c>
    </row>
    <row r="11" spans="1:3" x14ac:dyDescent="0.2">
      <c r="A11">
        <v>10</v>
      </c>
      <c r="B11" t="str">
        <f t="shared" si="0"/>
        <v>0A</v>
      </c>
      <c r="C11" t="s">
        <v>372</v>
      </c>
    </row>
    <row r="12" spans="1:3" x14ac:dyDescent="0.2">
      <c r="A12">
        <v>11</v>
      </c>
      <c r="B12" t="str">
        <f t="shared" si="0"/>
        <v>0B</v>
      </c>
      <c r="C12" t="s">
        <v>373</v>
      </c>
    </row>
    <row r="13" spans="1:3" x14ac:dyDescent="0.2">
      <c r="A13">
        <v>12</v>
      </c>
      <c r="B13" t="str">
        <f t="shared" si="0"/>
        <v>0C</v>
      </c>
      <c r="C13" t="s">
        <v>374</v>
      </c>
    </row>
    <row r="14" spans="1:3" x14ac:dyDescent="0.2">
      <c r="A14">
        <v>13</v>
      </c>
      <c r="B14" t="str">
        <f t="shared" si="0"/>
        <v>0D</v>
      </c>
      <c r="C14" t="s">
        <v>375</v>
      </c>
    </row>
    <row r="15" spans="1:3" x14ac:dyDescent="0.2">
      <c r="A15">
        <v>14</v>
      </c>
      <c r="B15" t="str">
        <f t="shared" si="0"/>
        <v>0E</v>
      </c>
      <c r="C15" t="s">
        <v>376</v>
      </c>
    </row>
    <row r="16" spans="1:3" x14ac:dyDescent="0.2">
      <c r="A16">
        <v>15</v>
      </c>
      <c r="B16" t="str">
        <f t="shared" si="0"/>
        <v>0F</v>
      </c>
      <c r="C16" t="s">
        <v>377</v>
      </c>
    </row>
    <row r="17" spans="1:3" x14ac:dyDescent="0.2">
      <c r="A17">
        <v>16</v>
      </c>
      <c r="B17" t="str">
        <f t="shared" si="0"/>
        <v>10</v>
      </c>
      <c r="C17" t="s">
        <v>378</v>
      </c>
    </row>
    <row r="18" spans="1:3" x14ac:dyDescent="0.2">
      <c r="A18">
        <v>17</v>
      </c>
      <c r="B18" t="str">
        <f t="shared" si="0"/>
        <v>11</v>
      </c>
      <c r="C18" t="s">
        <v>379</v>
      </c>
    </row>
    <row r="19" spans="1:3" x14ac:dyDescent="0.2">
      <c r="A19">
        <v>18</v>
      </c>
      <c r="B19" t="str">
        <f t="shared" si="0"/>
        <v>12</v>
      </c>
      <c r="C19" t="s">
        <v>380</v>
      </c>
    </row>
    <row r="20" spans="1:3" x14ac:dyDescent="0.2">
      <c r="A20">
        <v>19</v>
      </c>
      <c r="B20" t="str">
        <f t="shared" si="0"/>
        <v>13</v>
      </c>
      <c r="C20" t="s">
        <v>381</v>
      </c>
    </row>
    <row r="21" spans="1:3" x14ac:dyDescent="0.2">
      <c r="A21">
        <v>20</v>
      </c>
      <c r="B21" t="str">
        <f t="shared" si="0"/>
        <v>14</v>
      </c>
      <c r="C21" t="s">
        <v>382</v>
      </c>
    </row>
    <row r="22" spans="1:3" x14ac:dyDescent="0.2">
      <c r="A22">
        <v>21</v>
      </c>
      <c r="B22" t="str">
        <f t="shared" si="0"/>
        <v>15</v>
      </c>
      <c r="C22" t="s">
        <v>383</v>
      </c>
    </row>
    <row r="23" spans="1:3" x14ac:dyDescent="0.2">
      <c r="A23">
        <v>22</v>
      </c>
      <c r="B23" t="str">
        <f t="shared" si="0"/>
        <v>16</v>
      </c>
      <c r="C23" t="s">
        <v>384</v>
      </c>
    </row>
    <row r="24" spans="1:3" x14ac:dyDescent="0.2">
      <c r="A24">
        <v>23</v>
      </c>
      <c r="B24" t="str">
        <f t="shared" si="0"/>
        <v>17</v>
      </c>
      <c r="C24" t="s">
        <v>385</v>
      </c>
    </row>
    <row r="25" spans="1:3" x14ac:dyDescent="0.2">
      <c r="A25">
        <v>24</v>
      </c>
      <c r="B25" t="str">
        <f t="shared" si="0"/>
        <v>18</v>
      </c>
      <c r="C25" t="s">
        <v>386</v>
      </c>
    </row>
    <row r="26" spans="1:3" x14ac:dyDescent="0.2">
      <c r="A26">
        <v>25</v>
      </c>
      <c r="B26" t="str">
        <f t="shared" si="0"/>
        <v>19</v>
      </c>
      <c r="C26" t="s">
        <v>387</v>
      </c>
    </row>
    <row r="27" spans="1:3" x14ac:dyDescent="0.2">
      <c r="A27">
        <v>26</v>
      </c>
      <c r="B27" t="str">
        <f t="shared" si="0"/>
        <v>1A</v>
      </c>
      <c r="C27" t="s">
        <v>388</v>
      </c>
    </row>
    <row r="28" spans="1:3" x14ac:dyDescent="0.2">
      <c r="A28">
        <v>27</v>
      </c>
      <c r="B28" t="str">
        <f t="shared" si="0"/>
        <v>1B</v>
      </c>
      <c r="C28" t="s">
        <v>389</v>
      </c>
    </row>
    <row r="29" spans="1:3" x14ac:dyDescent="0.2">
      <c r="A29">
        <v>28</v>
      </c>
      <c r="B29" t="str">
        <f t="shared" si="0"/>
        <v>1C</v>
      </c>
      <c r="C29" t="s">
        <v>390</v>
      </c>
    </row>
    <row r="30" spans="1:3" x14ac:dyDescent="0.2">
      <c r="A30">
        <v>29</v>
      </c>
      <c r="B30" t="str">
        <f t="shared" si="0"/>
        <v>1D</v>
      </c>
      <c r="C30" t="s">
        <v>391</v>
      </c>
    </row>
    <row r="31" spans="1:3" x14ac:dyDescent="0.2">
      <c r="A31">
        <v>30</v>
      </c>
      <c r="B31" t="str">
        <f t="shared" si="0"/>
        <v>1E</v>
      </c>
      <c r="C31" t="s">
        <v>392</v>
      </c>
    </row>
    <row r="32" spans="1:3" x14ac:dyDescent="0.2">
      <c r="A32">
        <v>31</v>
      </c>
      <c r="B32" t="str">
        <f t="shared" si="0"/>
        <v>1F</v>
      </c>
      <c r="C32" t="s">
        <v>393</v>
      </c>
    </row>
    <row r="33" spans="1:3" x14ac:dyDescent="0.2">
      <c r="A33">
        <v>32</v>
      </c>
      <c r="B33" t="str">
        <f t="shared" si="0"/>
        <v>20</v>
      </c>
      <c r="C33" t="s">
        <v>394</v>
      </c>
    </row>
    <row r="34" spans="1:3" x14ac:dyDescent="0.2">
      <c r="A34">
        <v>33</v>
      </c>
      <c r="B34" t="str">
        <f t="shared" si="0"/>
        <v>21</v>
      </c>
      <c r="C34" t="s">
        <v>395</v>
      </c>
    </row>
    <row r="35" spans="1:3" x14ac:dyDescent="0.2">
      <c r="A35">
        <v>34</v>
      </c>
      <c r="B35" t="str">
        <f t="shared" si="0"/>
        <v>22</v>
      </c>
      <c r="C35" t="s">
        <v>396</v>
      </c>
    </row>
    <row r="36" spans="1:3" x14ac:dyDescent="0.2">
      <c r="A36">
        <v>35</v>
      </c>
      <c r="B36" t="str">
        <f t="shared" si="0"/>
        <v>23</v>
      </c>
      <c r="C36" t="s">
        <v>397</v>
      </c>
    </row>
    <row r="37" spans="1:3" x14ac:dyDescent="0.2">
      <c r="A37">
        <v>36</v>
      </c>
      <c r="B37" t="str">
        <f t="shared" si="0"/>
        <v>24</v>
      </c>
      <c r="C37" t="s">
        <v>398</v>
      </c>
    </row>
    <row r="38" spans="1:3" x14ac:dyDescent="0.2">
      <c r="A38">
        <v>37</v>
      </c>
      <c r="B38" t="str">
        <f t="shared" si="0"/>
        <v>25</v>
      </c>
      <c r="C38" t="s">
        <v>399</v>
      </c>
    </row>
    <row r="39" spans="1:3" x14ac:dyDescent="0.2">
      <c r="A39">
        <v>38</v>
      </c>
      <c r="B39" t="str">
        <f t="shared" si="0"/>
        <v>26</v>
      </c>
      <c r="C39" t="s">
        <v>400</v>
      </c>
    </row>
    <row r="40" spans="1:3" x14ac:dyDescent="0.2">
      <c r="A40">
        <v>39</v>
      </c>
      <c r="B40" t="str">
        <f t="shared" si="0"/>
        <v>27</v>
      </c>
      <c r="C40" t="s">
        <v>401</v>
      </c>
    </row>
    <row r="41" spans="1:3" x14ac:dyDescent="0.2">
      <c r="A41">
        <v>40</v>
      </c>
      <c r="B41" t="str">
        <f t="shared" si="0"/>
        <v>28</v>
      </c>
      <c r="C41" t="s">
        <v>402</v>
      </c>
    </row>
    <row r="42" spans="1:3" x14ac:dyDescent="0.2">
      <c r="A42">
        <v>41</v>
      </c>
      <c r="B42" t="str">
        <f t="shared" si="0"/>
        <v>29</v>
      </c>
      <c r="C42" t="s">
        <v>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2D43-05F6-884D-9B19-410263A484D6}">
  <dimension ref="A1:E105"/>
  <sheetViews>
    <sheetView tabSelected="1" workbookViewId="0">
      <selection activeCell="A105" sqref="A105"/>
    </sheetView>
  </sheetViews>
  <sheetFormatPr baseColWidth="10" defaultRowHeight="16" x14ac:dyDescent="0.2"/>
  <cols>
    <col min="4" max="4" width="28" bestFit="1" customWidth="1"/>
  </cols>
  <sheetData>
    <row r="1" spans="1:5" x14ac:dyDescent="0.2">
      <c r="A1" t="s">
        <v>56</v>
      </c>
      <c r="C1" t="s">
        <v>0</v>
      </c>
      <c r="D1" t="s">
        <v>8</v>
      </c>
    </row>
    <row r="2" spans="1:5" x14ac:dyDescent="0.2">
      <c r="A2">
        <v>1</v>
      </c>
      <c r="B2" t="str">
        <f>DEC2HEX(A2,2)</f>
        <v>01</v>
      </c>
      <c r="C2" t="s">
        <v>429</v>
      </c>
      <c r="D2" t="s">
        <v>203</v>
      </c>
      <c r="E2" t="str">
        <f>IF(C2="$00","Not created","")</f>
        <v/>
      </c>
    </row>
    <row r="3" spans="1:5" x14ac:dyDescent="0.2">
      <c r="A3">
        <v>2</v>
      </c>
      <c r="B3" t="str">
        <f t="shared" ref="B3:B4" si="0">DEC2HEX(A3,2)</f>
        <v>02</v>
      </c>
      <c r="C3" t="s">
        <v>429</v>
      </c>
      <c r="D3" t="s">
        <v>204</v>
      </c>
      <c r="E3" t="str">
        <f t="shared" ref="E3:E66" si="1">IF(C3="$00","Not created","")</f>
        <v/>
      </c>
    </row>
    <row r="4" spans="1:5" x14ac:dyDescent="0.2">
      <c r="A4">
        <v>3</v>
      </c>
      <c r="B4" t="str">
        <f t="shared" si="0"/>
        <v>03</v>
      </c>
      <c r="C4" t="s">
        <v>429</v>
      </c>
      <c r="D4" t="s">
        <v>205</v>
      </c>
      <c r="E4" t="str">
        <f t="shared" si="1"/>
        <v/>
      </c>
    </row>
    <row r="5" spans="1:5" x14ac:dyDescent="0.2">
      <c r="A5">
        <v>4</v>
      </c>
      <c r="B5" t="str">
        <f t="shared" ref="B5:B68" si="2">DEC2HEX(A5,2)</f>
        <v>04</v>
      </c>
      <c r="C5" t="s">
        <v>429</v>
      </c>
      <c r="D5" t="s">
        <v>206</v>
      </c>
      <c r="E5" t="str">
        <f t="shared" si="1"/>
        <v/>
      </c>
    </row>
    <row r="6" spans="1:5" x14ac:dyDescent="0.2">
      <c r="A6">
        <v>5</v>
      </c>
      <c r="B6" t="str">
        <f t="shared" si="2"/>
        <v>05</v>
      </c>
      <c r="C6" t="s">
        <v>430</v>
      </c>
      <c r="D6" t="s">
        <v>207</v>
      </c>
      <c r="E6" t="str">
        <f t="shared" si="1"/>
        <v>Not created</v>
      </c>
    </row>
    <row r="7" spans="1:5" x14ac:dyDescent="0.2">
      <c r="A7">
        <v>6</v>
      </c>
      <c r="B7" t="str">
        <f t="shared" si="2"/>
        <v>06</v>
      </c>
      <c r="C7" t="s">
        <v>431</v>
      </c>
      <c r="D7" t="s">
        <v>208</v>
      </c>
      <c r="E7" t="str">
        <f t="shared" si="1"/>
        <v/>
      </c>
    </row>
    <row r="8" spans="1:5" x14ac:dyDescent="0.2">
      <c r="A8">
        <v>7</v>
      </c>
      <c r="B8" t="str">
        <f t="shared" si="2"/>
        <v>07</v>
      </c>
      <c r="C8" t="s">
        <v>431</v>
      </c>
      <c r="D8" t="s">
        <v>209</v>
      </c>
      <c r="E8" t="str">
        <f t="shared" si="1"/>
        <v/>
      </c>
    </row>
    <row r="9" spans="1:5" x14ac:dyDescent="0.2">
      <c r="A9">
        <v>8</v>
      </c>
      <c r="B9" t="str">
        <f t="shared" si="2"/>
        <v>08</v>
      </c>
      <c r="C9" t="s">
        <v>431</v>
      </c>
      <c r="D9" t="s">
        <v>210</v>
      </c>
      <c r="E9" t="str">
        <f t="shared" si="1"/>
        <v/>
      </c>
    </row>
    <row r="10" spans="1:5" x14ac:dyDescent="0.2">
      <c r="A10">
        <v>9</v>
      </c>
      <c r="B10" t="str">
        <f t="shared" si="2"/>
        <v>09</v>
      </c>
      <c r="C10" t="s">
        <v>432</v>
      </c>
      <c r="D10" t="s">
        <v>211</v>
      </c>
      <c r="E10" t="str">
        <f t="shared" si="1"/>
        <v/>
      </c>
    </row>
    <row r="11" spans="1:5" x14ac:dyDescent="0.2">
      <c r="A11">
        <v>10</v>
      </c>
      <c r="B11" t="str">
        <f t="shared" si="2"/>
        <v>0A</v>
      </c>
      <c r="C11" t="s">
        <v>433</v>
      </c>
      <c r="D11" t="s">
        <v>212</v>
      </c>
      <c r="E11" t="str">
        <f t="shared" si="1"/>
        <v/>
      </c>
    </row>
    <row r="12" spans="1:5" x14ac:dyDescent="0.2">
      <c r="A12">
        <v>11</v>
      </c>
      <c r="B12" t="str">
        <f t="shared" si="2"/>
        <v>0B</v>
      </c>
      <c r="C12" t="s">
        <v>434</v>
      </c>
      <c r="D12" t="s">
        <v>213</v>
      </c>
      <c r="E12" t="str">
        <f t="shared" si="1"/>
        <v/>
      </c>
    </row>
    <row r="13" spans="1:5" x14ac:dyDescent="0.2">
      <c r="A13">
        <v>12</v>
      </c>
      <c r="B13" t="str">
        <f t="shared" si="2"/>
        <v>0C</v>
      </c>
      <c r="C13" t="s">
        <v>435</v>
      </c>
      <c r="D13" t="s">
        <v>214</v>
      </c>
      <c r="E13" t="str">
        <f t="shared" si="1"/>
        <v/>
      </c>
    </row>
    <row r="14" spans="1:5" x14ac:dyDescent="0.2">
      <c r="A14">
        <v>13</v>
      </c>
      <c r="B14" t="str">
        <f t="shared" si="2"/>
        <v>0D</v>
      </c>
      <c r="C14" t="s">
        <v>436</v>
      </c>
      <c r="D14" t="s">
        <v>215</v>
      </c>
      <c r="E14" t="str">
        <f t="shared" si="1"/>
        <v/>
      </c>
    </row>
    <row r="15" spans="1:5" x14ac:dyDescent="0.2">
      <c r="A15">
        <v>14</v>
      </c>
      <c r="B15" t="str">
        <f t="shared" si="2"/>
        <v>0E</v>
      </c>
      <c r="C15" t="s">
        <v>436</v>
      </c>
      <c r="D15" t="s">
        <v>216</v>
      </c>
      <c r="E15" t="str">
        <f t="shared" si="1"/>
        <v/>
      </c>
    </row>
    <row r="16" spans="1:5" x14ac:dyDescent="0.2">
      <c r="A16">
        <v>15</v>
      </c>
      <c r="B16" t="str">
        <f t="shared" si="2"/>
        <v>0F</v>
      </c>
      <c r="C16" t="s">
        <v>433</v>
      </c>
      <c r="D16" t="s">
        <v>217</v>
      </c>
      <c r="E16" t="str">
        <f t="shared" si="1"/>
        <v/>
      </c>
    </row>
    <row r="17" spans="1:5" x14ac:dyDescent="0.2">
      <c r="A17">
        <v>16</v>
      </c>
      <c r="B17" t="str">
        <f t="shared" si="2"/>
        <v>10</v>
      </c>
      <c r="C17" t="s">
        <v>430</v>
      </c>
      <c r="D17" t="s">
        <v>218</v>
      </c>
      <c r="E17" t="str">
        <f t="shared" si="1"/>
        <v>Not created</v>
      </c>
    </row>
    <row r="18" spans="1:5" x14ac:dyDescent="0.2">
      <c r="A18">
        <v>17</v>
      </c>
      <c r="B18" t="str">
        <f t="shared" si="2"/>
        <v>11</v>
      </c>
      <c r="C18" t="s">
        <v>434</v>
      </c>
      <c r="D18" t="s">
        <v>219</v>
      </c>
      <c r="E18" t="str">
        <f t="shared" si="1"/>
        <v/>
      </c>
    </row>
    <row r="19" spans="1:5" x14ac:dyDescent="0.2">
      <c r="A19">
        <v>18</v>
      </c>
      <c r="B19" t="str">
        <f t="shared" si="2"/>
        <v>12</v>
      </c>
      <c r="C19" t="s">
        <v>430</v>
      </c>
      <c r="D19" t="s">
        <v>220</v>
      </c>
      <c r="E19" t="str">
        <f t="shared" si="1"/>
        <v>Not created</v>
      </c>
    </row>
    <row r="20" spans="1:5" x14ac:dyDescent="0.2">
      <c r="A20">
        <v>19</v>
      </c>
      <c r="B20" t="str">
        <f t="shared" si="2"/>
        <v>13</v>
      </c>
      <c r="C20" t="s">
        <v>437</v>
      </c>
      <c r="D20" t="s">
        <v>221</v>
      </c>
      <c r="E20" t="str">
        <f t="shared" si="1"/>
        <v/>
      </c>
    </row>
    <row r="21" spans="1:5" x14ac:dyDescent="0.2">
      <c r="A21">
        <v>20</v>
      </c>
      <c r="B21" t="str">
        <f t="shared" si="2"/>
        <v>14</v>
      </c>
      <c r="C21" t="s">
        <v>438</v>
      </c>
      <c r="D21" t="s">
        <v>95</v>
      </c>
      <c r="E21" t="str">
        <f t="shared" si="1"/>
        <v/>
      </c>
    </row>
    <row r="22" spans="1:5" x14ac:dyDescent="0.2">
      <c r="A22">
        <v>21</v>
      </c>
      <c r="B22" t="str">
        <f t="shared" si="2"/>
        <v>15</v>
      </c>
      <c r="C22" t="s">
        <v>430</v>
      </c>
      <c r="D22" t="s">
        <v>222</v>
      </c>
      <c r="E22" t="str">
        <f t="shared" si="1"/>
        <v>Not created</v>
      </c>
    </row>
    <row r="23" spans="1:5" x14ac:dyDescent="0.2">
      <c r="A23">
        <v>22</v>
      </c>
      <c r="B23" t="str">
        <f t="shared" si="2"/>
        <v>16</v>
      </c>
      <c r="C23" t="s">
        <v>430</v>
      </c>
      <c r="D23" t="s">
        <v>223</v>
      </c>
      <c r="E23" t="str">
        <f t="shared" si="1"/>
        <v>Not created</v>
      </c>
    </row>
    <row r="24" spans="1:5" x14ac:dyDescent="0.2">
      <c r="A24">
        <v>23</v>
      </c>
      <c r="B24" t="str">
        <f t="shared" si="2"/>
        <v>17</v>
      </c>
      <c r="C24" t="s">
        <v>439</v>
      </c>
      <c r="D24" t="s">
        <v>224</v>
      </c>
      <c r="E24" t="str">
        <f t="shared" si="1"/>
        <v/>
      </c>
    </row>
    <row r="25" spans="1:5" x14ac:dyDescent="0.2">
      <c r="A25">
        <v>24</v>
      </c>
      <c r="B25" t="str">
        <f t="shared" si="2"/>
        <v>18</v>
      </c>
      <c r="C25" t="s">
        <v>440</v>
      </c>
      <c r="D25" t="s">
        <v>225</v>
      </c>
      <c r="E25" t="str">
        <f t="shared" si="1"/>
        <v/>
      </c>
    </row>
    <row r="26" spans="1:5" x14ac:dyDescent="0.2">
      <c r="A26">
        <v>25</v>
      </c>
      <c r="B26" t="str">
        <f t="shared" si="2"/>
        <v>19</v>
      </c>
      <c r="C26" t="s">
        <v>440</v>
      </c>
      <c r="D26" t="s">
        <v>226</v>
      </c>
      <c r="E26" t="str">
        <f t="shared" si="1"/>
        <v/>
      </c>
    </row>
    <row r="27" spans="1:5" x14ac:dyDescent="0.2">
      <c r="A27">
        <v>26</v>
      </c>
      <c r="B27" t="str">
        <f t="shared" si="2"/>
        <v>1A</v>
      </c>
      <c r="C27" t="s">
        <v>440</v>
      </c>
      <c r="D27" t="s">
        <v>227</v>
      </c>
      <c r="E27" t="str">
        <f t="shared" si="1"/>
        <v/>
      </c>
    </row>
    <row r="28" spans="1:5" x14ac:dyDescent="0.2">
      <c r="A28">
        <v>27</v>
      </c>
      <c r="B28" t="str">
        <f t="shared" si="2"/>
        <v>1B</v>
      </c>
      <c r="C28" t="s">
        <v>441</v>
      </c>
      <c r="D28" t="s">
        <v>228</v>
      </c>
      <c r="E28" t="str">
        <f t="shared" si="1"/>
        <v/>
      </c>
    </row>
    <row r="29" spans="1:5" x14ac:dyDescent="0.2">
      <c r="A29">
        <v>28</v>
      </c>
      <c r="B29" t="str">
        <f t="shared" si="2"/>
        <v>1C</v>
      </c>
      <c r="C29" t="s">
        <v>442</v>
      </c>
      <c r="D29" t="s">
        <v>229</v>
      </c>
      <c r="E29" t="str">
        <f t="shared" si="1"/>
        <v/>
      </c>
    </row>
    <row r="30" spans="1:5" x14ac:dyDescent="0.2">
      <c r="A30">
        <v>29</v>
      </c>
      <c r="B30" t="str">
        <f t="shared" si="2"/>
        <v>1D</v>
      </c>
      <c r="C30" t="s">
        <v>443</v>
      </c>
      <c r="D30" t="s">
        <v>230</v>
      </c>
      <c r="E30" t="str">
        <f t="shared" si="1"/>
        <v/>
      </c>
    </row>
    <row r="31" spans="1:5" x14ac:dyDescent="0.2">
      <c r="A31">
        <v>30</v>
      </c>
      <c r="B31" t="str">
        <f t="shared" si="2"/>
        <v>1E</v>
      </c>
      <c r="C31" t="s">
        <v>444</v>
      </c>
      <c r="D31" t="s">
        <v>231</v>
      </c>
      <c r="E31" t="str">
        <f t="shared" si="1"/>
        <v/>
      </c>
    </row>
    <row r="32" spans="1:5" x14ac:dyDescent="0.2">
      <c r="A32">
        <v>31</v>
      </c>
      <c r="B32" t="str">
        <f t="shared" si="2"/>
        <v>1F</v>
      </c>
      <c r="C32" t="s">
        <v>445</v>
      </c>
      <c r="D32" t="s">
        <v>232</v>
      </c>
      <c r="E32" t="str">
        <f t="shared" si="1"/>
        <v/>
      </c>
    </row>
    <row r="33" spans="1:5" x14ac:dyDescent="0.2">
      <c r="A33">
        <v>32</v>
      </c>
      <c r="B33" t="str">
        <f t="shared" si="2"/>
        <v>20</v>
      </c>
      <c r="C33" t="s">
        <v>446</v>
      </c>
      <c r="D33" t="s">
        <v>233</v>
      </c>
      <c r="E33" t="str">
        <f t="shared" si="1"/>
        <v/>
      </c>
    </row>
    <row r="34" spans="1:5" x14ac:dyDescent="0.2">
      <c r="A34">
        <v>33</v>
      </c>
      <c r="B34" t="str">
        <f t="shared" si="2"/>
        <v>21</v>
      </c>
      <c r="C34" t="s">
        <v>447</v>
      </c>
      <c r="D34" t="s">
        <v>234</v>
      </c>
      <c r="E34" t="str">
        <f t="shared" si="1"/>
        <v/>
      </c>
    </row>
    <row r="35" spans="1:5" x14ac:dyDescent="0.2">
      <c r="A35">
        <v>34</v>
      </c>
      <c r="B35" t="str">
        <f t="shared" si="2"/>
        <v>22</v>
      </c>
      <c r="C35" t="s">
        <v>448</v>
      </c>
      <c r="D35" t="s">
        <v>235</v>
      </c>
      <c r="E35" t="str">
        <f t="shared" si="1"/>
        <v/>
      </c>
    </row>
    <row r="36" spans="1:5" x14ac:dyDescent="0.2">
      <c r="A36">
        <v>35</v>
      </c>
      <c r="B36" t="str">
        <f t="shared" si="2"/>
        <v>23</v>
      </c>
      <c r="C36" t="s">
        <v>431</v>
      </c>
      <c r="D36" t="s">
        <v>68</v>
      </c>
      <c r="E36" t="str">
        <f t="shared" si="1"/>
        <v/>
      </c>
    </row>
    <row r="37" spans="1:5" x14ac:dyDescent="0.2">
      <c r="A37">
        <v>36</v>
      </c>
      <c r="B37" t="str">
        <f t="shared" si="2"/>
        <v>24</v>
      </c>
      <c r="C37" t="s">
        <v>449</v>
      </c>
      <c r="D37" t="s">
        <v>236</v>
      </c>
      <c r="E37" t="str">
        <f t="shared" si="1"/>
        <v/>
      </c>
    </row>
    <row r="38" spans="1:5" x14ac:dyDescent="0.2">
      <c r="A38">
        <v>37</v>
      </c>
      <c r="B38" t="str">
        <f t="shared" si="2"/>
        <v>25</v>
      </c>
      <c r="C38" t="s">
        <v>450</v>
      </c>
      <c r="D38" t="s">
        <v>236</v>
      </c>
      <c r="E38" t="str">
        <f t="shared" si="1"/>
        <v/>
      </c>
    </row>
    <row r="39" spans="1:5" x14ac:dyDescent="0.2">
      <c r="A39">
        <v>38</v>
      </c>
      <c r="B39" t="str">
        <f t="shared" si="2"/>
        <v>26</v>
      </c>
      <c r="C39" t="s">
        <v>451</v>
      </c>
      <c r="D39" t="s">
        <v>237</v>
      </c>
      <c r="E39" t="str">
        <f t="shared" si="1"/>
        <v/>
      </c>
    </row>
    <row r="40" spans="1:5" x14ac:dyDescent="0.2">
      <c r="A40">
        <v>39</v>
      </c>
      <c r="B40" t="str">
        <f t="shared" si="2"/>
        <v>27</v>
      </c>
      <c r="C40" t="s">
        <v>452</v>
      </c>
      <c r="D40" t="s">
        <v>238</v>
      </c>
      <c r="E40" t="str">
        <f t="shared" si="1"/>
        <v/>
      </c>
    </row>
    <row r="41" spans="1:5" x14ac:dyDescent="0.2">
      <c r="A41">
        <v>40</v>
      </c>
      <c r="B41" t="str">
        <f t="shared" si="2"/>
        <v>28</v>
      </c>
      <c r="C41" t="s">
        <v>453</v>
      </c>
      <c r="D41" t="s">
        <v>239</v>
      </c>
      <c r="E41" t="str">
        <f t="shared" si="1"/>
        <v/>
      </c>
    </row>
    <row r="42" spans="1:5" x14ac:dyDescent="0.2">
      <c r="A42">
        <v>41</v>
      </c>
      <c r="B42" t="str">
        <f t="shared" si="2"/>
        <v>29</v>
      </c>
      <c r="C42" t="s">
        <v>454</v>
      </c>
      <c r="D42" t="s">
        <v>240</v>
      </c>
      <c r="E42" t="str">
        <f t="shared" si="1"/>
        <v/>
      </c>
    </row>
    <row r="43" spans="1:5" x14ac:dyDescent="0.2">
      <c r="A43">
        <v>42</v>
      </c>
      <c r="B43" t="str">
        <f t="shared" si="2"/>
        <v>2A</v>
      </c>
      <c r="C43" t="s">
        <v>455</v>
      </c>
      <c r="D43" t="s">
        <v>236</v>
      </c>
      <c r="E43" t="str">
        <f t="shared" si="1"/>
        <v/>
      </c>
    </row>
    <row r="44" spans="1:5" x14ac:dyDescent="0.2">
      <c r="A44">
        <v>43</v>
      </c>
      <c r="B44" t="str">
        <f t="shared" si="2"/>
        <v>2B</v>
      </c>
      <c r="C44" t="s">
        <v>437</v>
      </c>
      <c r="D44" t="s">
        <v>241</v>
      </c>
      <c r="E44" t="str">
        <f t="shared" si="1"/>
        <v/>
      </c>
    </row>
    <row r="45" spans="1:5" x14ac:dyDescent="0.2">
      <c r="A45">
        <v>44</v>
      </c>
      <c r="B45" t="str">
        <f t="shared" si="2"/>
        <v>2C</v>
      </c>
      <c r="C45" t="s">
        <v>437</v>
      </c>
      <c r="D45" t="s">
        <v>242</v>
      </c>
      <c r="E45" t="str">
        <f t="shared" si="1"/>
        <v/>
      </c>
    </row>
    <row r="46" spans="1:5" x14ac:dyDescent="0.2">
      <c r="A46">
        <v>45</v>
      </c>
      <c r="B46" t="str">
        <f t="shared" si="2"/>
        <v>2D</v>
      </c>
      <c r="C46" t="s">
        <v>438</v>
      </c>
      <c r="D46" t="s">
        <v>243</v>
      </c>
      <c r="E46" t="str">
        <f t="shared" si="1"/>
        <v/>
      </c>
    </row>
    <row r="47" spans="1:5" x14ac:dyDescent="0.2">
      <c r="A47">
        <v>46</v>
      </c>
      <c r="B47" t="str">
        <f t="shared" si="2"/>
        <v>2E</v>
      </c>
      <c r="C47" t="s">
        <v>456</v>
      </c>
      <c r="D47" t="s">
        <v>236</v>
      </c>
      <c r="E47" t="str">
        <f t="shared" si="1"/>
        <v/>
      </c>
    </row>
    <row r="48" spans="1:5" x14ac:dyDescent="0.2">
      <c r="A48">
        <v>47</v>
      </c>
      <c r="B48" t="str">
        <f t="shared" si="2"/>
        <v>2F</v>
      </c>
      <c r="C48" t="s">
        <v>430</v>
      </c>
      <c r="D48" t="s">
        <v>244</v>
      </c>
      <c r="E48" t="str">
        <f t="shared" si="1"/>
        <v>Not created</v>
      </c>
    </row>
    <row r="49" spans="1:5" x14ac:dyDescent="0.2">
      <c r="A49">
        <v>48</v>
      </c>
      <c r="B49" t="str">
        <f t="shared" si="2"/>
        <v>30</v>
      </c>
      <c r="C49" t="s">
        <v>430</v>
      </c>
      <c r="D49" t="s">
        <v>245</v>
      </c>
      <c r="E49" t="str">
        <f t="shared" si="1"/>
        <v>Not created</v>
      </c>
    </row>
    <row r="50" spans="1:5" x14ac:dyDescent="0.2">
      <c r="A50">
        <v>49</v>
      </c>
      <c r="B50" t="str">
        <f t="shared" si="2"/>
        <v>31</v>
      </c>
      <c r="C50" t="s">
        <v>430</v>
      </c>
      <c r="D50" t="s">
        <v>246</v>
      </c>
      <c r="E50" t="str">
        <f t="shared" si="1"/>
        <v>Not created</v>
      </c>
    </row>
    <row r="51" spans="1:5" x14ac:dyDescent="0.2">
      <c r="A51">
        <v>50</v>
      </c>
      <c r="B51" t="str">
        <f t="shared" si="2"/>
        <v>32</v>
      </c>
      <c r="C51" t="s">
        <v>457</v>
      </c>
      <c r="D51" t="s">
        <v>236</v>
      </c>
      <c r="E51" t="str">
        <f t="shared" si="1"/>
        <v/>
      </c>
    </row>
    <row r="52" spans="1:5" x14ac:dyDescent="0.2">
      <c r="A52">
        <v>51</v>
      </c>
      <c r="B52" t="str">
        <f t="shared" si="2"/>
        <v>33</v>
      </c>
      <c r="C52" t="s">
        <v>457</v>
      </c>
      <c r="D52" t="s">
        <v>247</v>
      </c>
      <c r="E52" t="str">
        <f t="shared" si="1"/>
        <v/>
      </c>
    </row>
    <row r="53" spans="1:5" x14ac:dyDescent="0.2">
      <c r="A53">
        <v>52</v>
      </c>
      <c r="B53" t="str">
        <f t="shared" si="2"/>
        <v>34</v>
      </c>
      <c r="C53" t="s">
        <v>458</v>
      </c>
      <c r="D53" t="s">
        <v>248</v>
      </c>
      <c r="E53" t="str">
        <f t="shared" si="1"/>
        <v/>
      </c>
    </row>
    <row r="54" spans="1:5" x14ac:dyDescent="0.2">
      <c r="A54">
        <v>53</v>
      </c>
      <c r="B54" t="str">
        <f t="shared" si="2"/>
        <v>35</v>
      </c>
      <c r="C54" t="s">
        <v>459</v>
      </c>
      <c r="D54" t="s">
        <v>238</v>
      </c>
      <c r="E54" t="str">
        <f t="shared" si="1"/>
        <v/>
      </c>
    </row>
    <row r="55" spans="1:5" x14ac:dyDescent="0.2">
      <c r="A55">
        <v>54</v>
      </c>
      <c r="B55" t="str">
        <f t="shared" si="2"/>
        <v>36</v>
      </c>
      <c r="C55" t="s">
        <v>459</v>
      </c>
      <c r="D55" t="s">
        <v>249</v>
      </c>
      <c r="E55" t="str">
        <f t="shared" si="1"/>
        <v/>
      </c>
    </row>
    <row r="56" spans="1:5" x14ac:dyDescent="0.2">
      <c r="A56">
        <v>55</v>
      </c>
      <c r="B56" t="str">
        <f t="shared" si="2"/>
        <v>37</v>
      </c>
      <c r="C56" t="s">
        <v>460</v>
      </c>
      <c r="D56" t="s">
        <v>192</v>
      </c>
      <c r="E56" t="str">
        <f t="shared" si="1"/>
        <v/>
      </c>
    </row>
    <row r="57" spans="1:5" x14ac:dyDescent="0.2">
      <c r="A57">
        <v>56</v>
      </c>
      <c r="B57" t="str">
        <f t="shared" si="2"/>
        <v>38</v>
      </c>
      <c r="C57" t="s">
        <v>461</v>
      </c>
      <c r="D57" t="s">
        <v>236</v>
      </c>
      <c r="E57" t="str">
        <f t="shared" si="1"/>
        <v/>
      </c>
    </row>
    <row r="58" spans="1:5" x14ac:dyDescent="0.2">
      <c r="A58">
        <v>57</v>
      </c>
      <c r="B58" t="str">
        <f t="shared" si="2"/>
        <v>39</v>
      </c>
      <c r="C58" t="s">
        <v>430</v>
      </c>
      <c r="D58" t="s">
        <v>250</v>
      </c>
      <c r="E58" t="str">
        <f t="shared" si="1"/>
        <v>Not created</v>
      </c>
    </row>
    <row r="59" spans="1:5" x14ac:dyDescent="0.2">
      <c r="A59">
        <v>58</v>
      </c>
      <c r="B59" t="str">
        <f t="shared" si="2"/>
        <v>3A</v>
      </c>
      <c r="C59" t="s">
        <v>462</v>
      </c>
      <c r="D59" t="s">
        <v>251</v>
      </c>
      <c r="E59" t="str">
        <f t="shared" si="1"/>
        <v/>
      </c>
    </row>
    <row r="60" spans="1:5" x14ac:dyDescent="0.2">
      <c r="A60">
        <v>59</v>
      </c>
      <c r="B60" t="str">
        <f t="shared" si="2"/>
        <v>3B</v>
      </c>
      <c r="C60" t="s">
        <v>463</v>
      </c>
      <c r="D60" t="s">
        <v>252</v>
      </c>
      <c r="E60" t="str">
        <f t="shared" si="1"/>
        <v/>
      </c>
    </row>
    <row r="61" spans="1:5" x14ac:dyDescent="0.2">
      <c r="A61">
        <v>60</v>
      </c>
      <c r="B61" t="str">
        <f t="shared" si="2"/>
        <v>3C</v>
      </c>
      <c r="C61" t="s">
        <v>462</v>
      </c>
      <c r="D61" t="s">
        <v>253</v>
      </c>
      <c r="E61" t="str">
        <f t="shared" si="1"/>
        <v/>
      </c>
    </row>
    <row r="62" spans="1:5" x14ac:dyDescent="0.2">
      <c r="A62">
        <v>61</v>
      </c>
      <c r="B62" t="str">
        <f t="shared" si="2"/>
        <v>3D</v>
      </c>
      <c r="C62" t="s">
        <v>464</v>
      </c>
      <c r="D62" t="s">
        <v>254</v>
      </c>
      <c r="E62" t="str">
        <f t="shared" si="1"/>
        <v/>
      </c>
    </row>
    <row r="63" spans="1:5" x14ac:dyDescent="0.2">
      <c r="A63">
        <v>62</v>
      </c>
      <c r="B63" t="str">
        <f t="shared" si="2"/>
        <v>3E</v>
      </c>
      <c r="C63" t="s">
        <v>464</v>
      </c>
      <c r="D63" t="s">
        <v>236</v>
      </c>
      <c r="E63" t="str">
        <f t="shared" si="1"/>
        <v/>
      </c>
    </row>
    <row r="64" spans="1:5" x14ac:dyDescent="0.2">
      <c r="A64">
        <v>63</v>
      </c>
      <c r="B64" t="str">
        <f t="shared" si="2"/>
        <v>3F</v>
      </c>
      <c r="C64" t="s">
        <v>448</v>
      </c>
      <c r="D64" t="s">
        <v>255</v>
      </c>
      <c r="E64" t="str">
        <f t="shared" si="1"/>
        <v/>
      </c>
    </row>
    <row r="65" spans="1:5" x14ac:dyDescent="0.2">
      <c r="A65">
        <v>64</v>
      </c>
      <c r="B65" t="str">
        <f t="shared" si="2"/>
        <v>40</v>
      </c>
      <c r="C65" t="s">
        <v>465</v>
      </c>
      <c r="D65" t="s">
        <v>236</v>
      </c>
      <c r="E65" t="str">
        <f t="shared" si="1"/>
        <v/>
      </c>
    </row>
    <row r="66" spans="1:5" x14ac:dyDescent="0.2">
      <c r="A66">
        <v>65</v>
      </c>
      <c r="B66" t="str">
        <f t="shared" si="2"/>
        <v>41</v>
      </c>
      <c r="C66" t="s">
        <v>466</v>
      </c>
      <c r="D66" t="s">
        <v>210</v>
      </c>
      <c r="E66" t="str">
        <f t="shared" si="1"/>
        <v/>
      </c>
    </row>
    <row r="67" spans="1:5" x14ac:dyDescent="0.2">
      <c r="A67">
        <v>66</v>
      </c>
      <c r="B67" t="str">
        <f t="shared" si="2"/>
        <v>42</v>
      </c>
      <c r="C67" t="s">
        <v>430</v>
      </c>
      <c r="D67" t="s">
        <v>256</v>
      </c>
      <c r="E67" t="str">
        <f t="shared" ref="E67:E105" si="3">IF(C67="$00","Not created","")</f>
        <v>Not created</v>
      </c>
    </row>
    <row r="68" spans="1:5" x14ac:dyDescent="0.2">
      <c r="A68">
        <v>67</v>
      </c>
      <c r="B68" t="str">
        <f t="shared" si="2"/>
        <v>43</v>
      </c>
      <c r="C68" t="s">
        <v>430</v>
      </c>
      <c r="D68" t="s">
        <v>257</v>
      </c>
      <c r="E68" t="str">
        <f t="shared" si="3"/>
        <v>Not created</v>
      </c>
    </row>
    <row r="69" spans="1:5" x14ac:dyDescent="0.2">
      <c r="A69">
        <v>68</v>
      </c>
      <c r="B69" t="str">
        <f t="shared" ref="B69:B105" si="4">DEC2HEX(A69,2)</f>
        <v>44</v>
      </c>
      <c r="C69" t="s">
        <v>467</v>
      </c>
      <c r="D69" t="s">
        <v>228</v>
      </c>
      <c r="E69" t="str">
        <f t="shared" si="3"/>
        <v/>
      </c>
    </row>
    <row r="70" spans="1:5" x14ac:dyDescent="0.2">
      <c r="A70">
        <v>69</v>
      </c>
      <c r="B70" t="str">
        <f t="shared" si="4"/>
        <v>45</v>
      </c>
      <c r="C70" t="s">
        <v>463</v>
      </c>
      <c r="D70" t="s">
        <v>95</v>
      </c>
      <c r="E70" t="str">
        <f t="shared" si="3"/>
        <v/>
      </c>
    </row>
    <row r="71" spans="1:5" x14ac:dyDescent="0.2">
      <c r="A71">
        <v>70</v>
      </c>
      <c r="B71" t="str">
        <f t="shared" si="4"/>
        <v>46</v>
      </c>
      <c r="C71" t="s">
        <v>463</v>
      </c>
      <c r="D71" t="s">
        <v>258</v>
      </c>
      <c r="E71" t="str">
        <f t="shared" si="3"/>
        <v/>
      </c>
    </row>
    <row r="72" spans="1:5" x14ac:dyDescent="0.2">
      <c r="A72">
        <v>71</v>
      </c>
      <c r="B72" t="str">
        <f t="shared" si="4"/>
        <v>47</v>
      </c>
      <c r="C72" t="s">
        <v>435</v>
      </c>
      <c r="D72" t="s">
        <v>209</v>
      </c>
      <c r="E72" t="str">
        <f t="shared" si="3"/>
        <v/>
      </c>
    </row>
    <row r="73" spans="1:5" x14ac:dyDescent="0.2">
      <c r="A73">
        <v>72</v>
      </c>
      <c r="B73" t="str">
        <f t="shared" si="4"/>
        <v>48</v>
      </c>
      <c r="C73" t="s">
        <v>435</v>
      </c>
      <c r="D73" t="s">
        <v>210</v>
      </c>
      <c r="E73" t="str">
        <f t="shared" si="3"/>
        <v/>
      </c>
    </row>
    <row r="74" spans="1:5" x14ac:dyDescent="0.2">
      <c r="A74">
        <v>73</v>
      </c>
      <c r="B74" t="str">
        <f t="shared" si="4"/>
        <v>49</v>
      </c>
      <c r="C74" t="s">
        <v>430</v>
      </c>
      <c r="D74" t="s">
        <v>223</v>
      </c>
      <c r="E74" t="str">
        <f t="shared" si="3"/>
        <v>Not created</v>
      </c>
    </row>
    <row r="75" spans="1:5" x14ac:dyDescent="0.2">
      <c r="A75">
        <v>74</v>
      </c>
      <c r="B75" t="str">
        <f t="shared" si="4"/>
        <v>4A</v>
      </c>
      <c r="C75" t="s">
        <v>441</v>
      </c>
      <c r="D75" t="s">
        <v>209</v>
      </c>
      <c r="E75" t="str">
        <f t="shared" si="3"/>
        <v/>
      </c>
    </row>
    <row r="76" spans="1:5" x14ac:dyDescent="0.2">
      <c r="A76">
        <v>75</v>
      </c>
      <c r="B76" t="str">
        <f t="shared" si="4"/>
        <v>4B</v>
      </c>
      <c r="C76" t="s">
        <v>441</v>
      </c>
      <c r="D76" t="s">
        <v>210</v>
      </c>
      <c r="E76" t="str">
        <f t="shared" si="3"/>
        <v/>
      </c>
    </row>
    <row r="77" spans="1:5" x14ac:dyDescent="0.2">
      <c r="A77">
        <v>76</v>
      </c>
      <c r="B77" t="str">
        <f t="shared" si="4"/>
        <v>4C</v>
      </c>
      <c r="C77" t="s">
        <v>430</v>
      </c>
      <c r="D77" t="s">
        <v>223</v>
      </c>
      <c r="E77" t="str">
        <f t="shared" si="3"/>
        <v>Not created</v>
      </c>
    </row>
    <row r="78" spans="1:5" x14ac:dyDescent="0.2">
      <c r="A78">
        <v>77</v>
      </c>
      <c r="B78" t="str">
        <f t="shared" si="4"/>
        <v>4D</v>
      </c>
      <c r="C78" t="s">
        <v>468</v>
      </c>
      <c r="D78" t="s">
        <v>209</v>
      </c>
      <c r="E78" t="str">
        <f t="shared" si="3"/>
        <v/>
      </c>
    </row>
    <row r="79" spans="1:5" x14ac:dyDescent="0.2">
      <c r="A79">
        <v>78</v>
      </c>
      <c r="B79" t="str">
        <f t="shared" si="4"/>
        <v>4E</v>
      </c>
      <c r="C79" t="s">
        <v>468</v>
      </c>
      <c r="D79" t="s">
        <v>210</v>
      </c>
      <c r="E79" t="str">
        <f t="shared" si="3"/>
        <v/>
      </c>
    </row>
    <row r="80" spans="1:5" x14ac:dyDescent="0.2">
      <c r="A80">
        <v>79</v>
      </c>
      <c r="B80" t="str">
        <f t="shared" si="4"/>
        <v>4F</v>
      </c>
      <c r="C80" t="s">
        <v>430</v>
      </c>
      <c r="D80" t="s">
        <v>223</v>
      </c>
      <c r="E80" t="str">
        <f t="shared" si="3"/>
        <v>Not created</v>
      </c>
    </row>
    <row r="81" spans="1:5" x14ac:dyDescent="0.2">
      <c r="A81">
        <v>80</v>
      </c>
      <c r="B81" t="str">
        <f t="shared" si="4"/>
        <v>50</v>
      </c>
      <c r="C81" t="s">
        <v>430</v>
      </c>
      <c r="D81" t="s">
        <v>209</v>
      </c>
      <c r="E81" t="str">
        <f t="shared" si="3"/>
        <v>Not created</v>
      </c>
    </row>
    <row r="82" spans="1:5" x14ac:dyDescent="0.2">
      <c r="A82">
        <v>81</v>
      </c>
      <c r="B82" t="str">
        <f t="shared" si="4"/>
        <v>51</v>
      </c>
      <c r="C82" t="s">
        <v>469</v>
      </c>
      <c r="D82" t="s">
        <v>210</v>
      </c>
      <c r="E82" t="str">
        <f t="shared" si="3"/>
        <v/>
      </c>
    </row>
    <row r="83" spans="1:5" x14ac:dyDescent="0.2">
      <c r="A83">
        <v>82</v>
      </c>
      <c r="B83" t="str">
        <f t="shared" si="4"/>
        <v>52</v>
      </c>
      <c r="C83" t="s">
        <v>430</v>
      </c>
      <c r="D83" t="s">
        <v>223</v>
      </c>
      <c r="E83" t="str">
        <f t="shared" si="3"/>
        <v>Not created</v>
      </c>
    </row>
    <row r="84" spans="1:5" x14ac:dyDescent="0.2">
      <c r="A84">
        <v>83</v>
      </c>
      <c r="B84" t="str">
        <f t="shared" si="4"/>
        <v>53</v>
      </c>
      <c r="C84" t="s">
        <v>470</v>
      </c>
      <c r="D84" t="s">
        <v>209</v>
      </c>
      <c r="E84" t="str">
        <f t="shared" si="3"/>
        <v/>
      </c>
    </row>
    <row r="85" spans="1:5" x14ac:dyDescent="0.2">
      <c r="A85">
        <v>84</v>
      </c>
      <c r="B85" t="str">
        <f t="shared" si="4"/>
        <v>54</v>
      </c>
      <c r="C85" t="s">
        <v>470</v>
      </c>
      <c r="D85" t="s">
        <v>210</v>
      </c>
      <c r="E85" t="str">
        <f t="shared" si="3"/>
        <v/>
      </c>
    </row>
    <row r="86" spans="1:5" x14ac:dyDescent="0.2">
      <c r="A86">
        <v>85</v>
      </c>
      <c r="B86" t="str">
        <f t="shared" si="4"/>
        <v>55</v>
      </c>
      <c r="C86" t="s">
        <v>430</v>
      </c>
      <c r="D86" t="s">
        <v>223</v>
      </c>
      <c r="E86" t="str">
        <f t="shared" si="3"/>
        <v>Not created</v>
      </c>
    </row>
    <row r="87" spans="1:5" x14ac:dyDescent="0.2">
      <c r="A87">
        <v>86</v>
      </c>
      <c r="B87" t="str">
        <f t="shared" si="4"/>
        <v>56</v>
      </c>
      <c r="C87" t="s">
        <v>471</v>
      </c>
      <c r="D87" t="s">
        <v>209</v>
      </c>
      <c r="E87" t="str">
        <f t="shared" si="3"/>
        <v/>
      </c>
    </row>
    <row r="88" spans="1:5" x14ac:dyDescent="0.2">
      <c r="A88">
        <v>87</v>
      </c>
      <c r="B88" t="str">
        <f t="shared" si="4"/>
        <v>57</v>
      </c>
      <c r="C88" t="s">
        <v>471</v>
      </c>
      <c r="D88" t="s">
        <v>210</v>
      </c>
      <c r="E88" t="str">
        <f t="shared" si="3"/>
        <v/>
      </c>
    </row>
    <row r="89" spans="1:5" x14ac:dyDescent="0.2">
      <c r="A89">
        <v>88</v>
      </c>
      <c r="B89" t="str">
        <f t="shared" si="4"/>
        <v>58</v>
      </c>
      <c r="C89" t="s">
        <v>472</v>
      </c>
      <c r="D89" t="s">
        <v>209</v>
      </c>
      <c r="E89" t="str">
        <f t="shared" si="3"/>
        <v/>
      </c>
    </row>
    <row r="90" spans="1:5" x14ac:dyDescent="0.2">
      <c r="A90">
        <v>89</v>
      </c>
      <c r="B90" t="str">
        <f t="shared" si="4"/>
        <v>59</v>
      </c>
      <c r="C90" t="s">
        <v>472</v>
      </c>
      <c r="D90" t="s">
        <v>210</v>
      </c>
      <c r="E90" t="str">
        <f t="shared" si="3"/>
        <v/>
      </c>
    </row>
    <row r="91" spans="1:5" x14ac:dyDescent="0.2">
      <c r="A91">
        <v>90</v>
      </c>
      <c r="B91" t="str">
        <f t="shared" si="4"/>
        <v>5A</v>
      </c>
      <c r="C91" t="s">
        <v>430</v>
      </c>
      <c r="D91" t="s">
        <v>223</v>
      </c>
      <c r="E91" t="str">
        <f t="shared" si="3"/>
        <v>Not created</v>
      </c>
    </row>
    <row r="92" spans="1:5" x14ac:dyDescent="0.2">
      <c r="A92">
        <v>91</v>
      </c>
      <c r="B92" t="str">
        <f t="shared" si="4"/>
        <v>5B</v>
      </c>
      <c r="C92" t="s">
        <v>473</v>
      </c>
      <c r="D92" t="s">
        <v>209</v>
      </c>
      <c r="E92" t="str">
        <f t="shared" si="3"/>
        <v/>
      </c>
    </row>
    <row r="93" spans="1:5" x14ac:dyDescent="0.2">
      <c r="A93">
        <v>92</v>
      </c>
      <c r="B93" t="str">
        <f t="shared" si="4"/>
        <v>5C</v>
      </c>
      <c r="C93" t="s">
        <v>473</v>
      </c>
      <c r="D93" t="s">
        <v>210</v>
      </c>
      <c r="E93" t="str">
        <f t="shared" si="3"/>
        <v/>
      </c>
    </row>
    <row r="94" spans="1:5" x14ac:dyDescent="0.2">
      <c r="A94">
        <v>93</v>
      </c>
      <c r="B94" t="str">
        <f t="shared" si="4"/>
        <v>5D</v>
      </c>
      <c r="C94" t="s">
        <v>430</v>
      </c>
      <c r="D94" t="s">
        <v>223</v>
      </c>
      <c r="E94" t="str">
        <f t="shared" si="3"/>
        <v>Not created</v>
      </c>
    </row>
    <row r="95" spans="1:5" x14ac:dyDescent="0.2">
      <c r="A95">
        <v>94</v>
      </c>
      <c r="B95" t="str">
        <f t="shared" si="4"/>
        <v>5E</v>
      </c>
      <c r="C95" t="s">
        <v>430</v>
      </c>
      <c r="D95" t="s">
        <v>216</v>
      </c>
      <c r="E95" t="str">
        <f t="shared" si="3"/>
        <v>Not created</v>
      </c>
    </row>
    <row r="96" spans="1:5" x14ac:dyDescent="0.2">
      <c r="A96">
        <v>95</v>
      </c>
      <c r="B96" t="str">
        <f t="shared" si="4"/>
        <v>5F</v>
      </c>
      <c r="C96" t="s">
        <v>449</v>
      </c>
      <c r="D96" t="s">
        <v>223</v>
      </c>
      <c r="E96" t="str">
        <f t="shared" si="3"/>
        <v/>
      </c>
    </row>
    <row r="97" spans="1:5" x14ac:dyDescent="0.2">
      <c r="A97">
        <v>96</v>
      </c>
      <c r="B97" t="str">
        <f t="shared" si="4"/>
        <v>60</v>
      </c>
      <c r="C97" t="s">
        <v>474</v>
      </c>
      <c r="D97" t="s">
        <v>68</v>
      </c>
      <c r="E97" t="str">
        <f t="shared" si="3"/>
        <v/>
      </c>
    </row>
    <row r="98" spans="1:5" x14ac:dyDescent="0.2">
      <c r="A98">
        <v>97</v>
      </c>
      <c r="B98" t="str">
        <f t="shared" si="4"/>
        <v>61</v>
      </c>
      <c r="C98" t="s">
        <v>475</v>
      </c>
      <c r="D98" t="s">
        <v>236</v>
      </c>
      <c r="E98" t="str">
        <f t="shared" si="3"/>
        <v/>
      </c>
    </row>
    <row r="99" spans="1:5" x14ac:dyDescent="0.2">
      <c r="A99">
        <v>98</v>
      </c>
      <c r="B99" t="str">
        <f t="shared" si="4"/>
        <v>62</v>
      </c>
      <c r="C99" t="s">
        <v>430</v>
      </c>
      <c r="D99" t="s">
        <v>207</v>
      </c>
      <c r="E99" t="str">
        <f t="shared" si="3"/>
        <v>Not created</v>
      </c>
    </row>
    <row r="100" spans="1:5" x14ac:dyDescent="0.2">
      <c r="A100">
        <v>99</v>
      </c>
      <c r="B100" t="str">
        <f t="shared" si="4"/>
        <v>63</v>
      </c>
      <c r="C100" t="s">
        <v>476</v>
      </c>
      <c r="D100" t="s">
        <v>68</v>
      </c>
      <c r="E100" t="str">
        <f t="shared" si="3"/>
        <v/>
      </c>
    </row>
    <row r="101" spans="1:5" x14ac:dyDescent="0.2">
      <c r="A101">
        <v>100</v>
      </c>
      <c r="B101" t="str">
        <f t="shared" si="4"/>
        <v>64</v>
      </c>
      <c r="C101" t="s">
        <v>477</v>
      </c>
      <c r="D101" t="s">
        <v>239</v>
      </c>
      <c r="E101" t="str">
        <f t="shared" si="3"/>
        <v/>
      </c>
    </row>
    <row r="102" spans="1:5" x14ac:dyDescent="0.2">
      <c r="A102">
        <v>101</v>
      </c>
      <c r="B102" t="str">
        <f t="shared" si="4"/>
        <v>65</v>
      </c>
      <c r="C102" t="s">
        <v>478</v>
      </c>
      <c r="D102" t="s">
        <v>239</v>
      </c>
      <c r="E102" t="str">
        <f t="shared" si="3"/>
        <v/>
      </c>
    </row>
    <row r="103" spans="1:5" x14ac:dyDescent="0.2">
      <c r="A103">
        <v>102</v>
      </c>
      <c r="B103" t="str">
        <f t="shared" si="4"/>
        <v>66</v>
      </c>
      <c r="C103" t="s">
        <v>479</v>
      </c>
      <c r="D103" t="s">
        <v>259</v>
      </c>
      <c r="E103" t="str">
        <f t="shared" si="3"/>
        <v/>
      </c>
    </row>
    <row r="104" spans="1:5" x14ac:dyDescent="0.2">
      <c r="A104">
        <v>103</v>
      </c>
      <c r="B104" t="str">
        <f t="shared" si="4"/>
        <v>67</v>
      </c>
      <c r="C104" t="s">
        <v>479</v>
      </c>
      <c r="D104" t="s">
        <v>260</v>
      </c>
      <c r="E104" t="str">
        <f t="shared" si="3"/>
        <v/>
      </c>
    </row>
    <row r="105" spans="1:5" x14ac:dyDescent="0.2">
      <c r="E105" t="str">
        <f t="shared" si="3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4AD6-09A7-DB40-9532-1C8587D85B86}">
  <dimension ref="A1:E442"/>
  <sheetViews>
    <sheetView topLeftCell="A100" workbookViewId="0">
      <selection activeCell="A129" sqref="A129"/>
    </sheetView>
  </sheetViews>
  <sheetFormatPr baseColWidth="10" defaultRowHeight="16" x14ac:dyDescent="0.2"/>
  <cols>
    <col min="1" max="1" width="48.1640625" style="2" customWidth="1"/>
    <col min="4" max="4" width="52" bestFit="1" customWidth="1"/>
    <col min="5" max="5" width="12.6640625" bestFit="1" customWidth="1"/>
  </cols>
  <sheetData>
    <row r="1" spans="1:5" x14ac:dyDescent="0.2">
      <c r="B1" t="s">
        <v>482</v>
      </c>
      <c r="C1" t="s">
        <v>483</v>
      </c>
      <c r="D1" t="s">
        <v>480</v>
      </c>
      <c r="E1" t="s">
        <v>481</v>
      </c>
    </row>
    <row r="2" spans="1:5" x14ac:dyDescent="0.2">
      <c r="A2" s="3" t="s">
        <v>484</v>
      </c>
      <c r="B2" t="str">
        <f>LEFT(A2,2)</f>
        <v>01</v>
      </c>
      <c r="C2" t="str">
        <f>MID(A2,3,2)</f>
        <v>0F</v>
      </c>
      <c r="D2" t="str">
        <f>VLOOKUP(B2,Vocabulary!B:D,2,TRUE)</f>
        <v>GET/TAKE/GRAB/HOLD/CARR/FETC*</v>
      </c>
      <c r="E2" t="str">
        <f>VLOOKUP(C2,Vocabulary!B:D,3,TRUE)</f>
        <v>DEVI*</v>
      </c>
    </row>
    <row r="3" spans="1:5" x14ac:dyDescent="0.2">
      <c r="A3" s="2" t="s">
        <v>485</v>
      </c>
      <c r="B3" t="str">
        <f t="shared" ref="B3:B66" si="0">LEFT(A3,2)</f>
        <v>01</v>
      </c>
      <c r="C3" t="str">
        <f t="shared" ref="C3:C66" si="1">MID(A3,3,2)</f>
        <v>10</v>
      </c>
      <c r="D3" t="str">
        <f>VLOOKUP(B3,Vocabulary!B:D,2,TRUE)</f>
        <v>GET/TAKE/GRAB/HOLD/CARR/FETC*</v>
      </c>
      <c r="E3" t="str">
        <f>VLOOKUP(C3,Vocabulary!B:D,3,TRUE)</f>
        <v>CHEM*</v>
      </c>
    </row>
    <row r="4" spans="1:5" x14ac:dyDescent="0.2">
      <c r="A4" s="2" t="s">
        <v>486</v>
      </c>
      <c r="B4" t="str">
        <f t="shared" si="0"/>
        <v>01</v>
      </c>
      <c r="C4" t="str">
        <f t="shared" si="1"/>
        <v>14</v>
      </c>
      <c r="D4" t="str">
        <f>VLOOKUP(B4,Vocabulary!B:D,2,TRUE)</f>
        <v>GET/TAKE/GRAB/HOLD/CARR/FETC*</v>
      </c>
      <c r="E4" t="str">
        <f>VLOOKUP(C4,Vocabulary!B:D,3,TRUE)</f>
        <v>TOKE/COIN*</v>
      </c>
    </row>
    <row r="5" spans="1:5" x14ac:dyDescent="0.2">
      <c r="A5" s="2" t="s">
        <v>487</v>
      </c>
      <c r="B5" t="str">
        <f t="shared" si="0"/>
        <v>01</v>
      </c>
      <c r="C5" t="str">
        <f t="shared" si="1"/>
        <v>13</v>
      </c>
      <c r="D5" t="str">
        <f>VLOOKUP(B5,Vocabulary!B:D,2,TRUE)</f>
        <v>GET/TAKE/GRAB/HOLD/CARR/FETC*</v>
      </c>
      <c r="E5" t="str">
        <f>VLOOKUP(C5,Vocabulary!B:D,3,TRUE)</f>
        <v>ROD/PLAS*</v>
      </c>
    </row>
    <row r="6" spans="1:5" x14ac:dyDescent="0.2">
      <c r="A6" s="2" t="s">
        <v>488</v>
      </c>
      <c r="B6" t="str">
        <f t="shared" si="0"/>
        <v>01</v>
      </c>
      <c r="C6" t="str">
        <f t="shared" si="1"/>
        <v>13</v>
      </c>
      <c r="D6" t="str">
        <f>VLOOKUP(B6,Vocabulary!B:D,2,TRUE)</f>
        <v>GET/TAKE/GRAB/HOLD/CARR/FETC*</v>
      </c>
      <c r="E6" t="str">
        <f>VLOOKUP(C6,Vocabulary!B:D,3,TRUE)</f>
        <v>ROD/PLAS*</v>
      </c>
    </row>
    <row r="7" spans="1:5" x14ac:dyDescent="0.2">
      <c r="A7" s="2" t="s">
        <v>489</v>
      </c>
      <c r="B7" t="str">
        <f t="shared" si="0"/>
        <v>01</v>
      </c>
      <c r="C7" t="str">
        <f t="shared" si="1"/>
        <v>1D</v>
      </c>
      <c r="D7" t="str">
        <f>VLOOKUP(B7,Vocabulary!B:D,2,TRUE)</f>
        <v>GET/TAKE/GRAB/HOLD/CARR/FETC*</v>
      </c>
      <c r="E7" t="str">
        <f>VLOOKUP(C7,Vocabulary!B:D,3,TRUE)</f>
        <v>CANI*</v>
      </c>
    </row>
    <row r="8" spans="1:5" x14ac:dyDescent="0.2">
      <c r="A8" s="2" t="s">
        <v>490</v>
      </c>
      <c r="B8" t="str">
        <f t="shared" si="0"/>
        <v>01</v>
      </c>
      <c r="C8" t="str">
        <f t="shared" si="1"/>
        <v>27</v>
      </c>
      <c r="D8" t="str">
        <f>VLOOKUP(B8,Vocabulary!B:D,2,TRUE)</f>
        <v>GET/TAKE/GRAB/HOLD/CARR/FETC*</v>
      </c>
      <c r="E8" t="str">
        <f>VLOOKUP(C8,Vocabulary!B:D,3,TRUE)</f>
        <v>GREE*</v>
      </c>
    </row>
    <row r="9" spans="1:5" x14ac:dyDescent="0.2">
      <c r="A9" s="2" t="s">
        <v>491</v>
      </c>
      <c r="B9" t="str">
        <f t="shared" si="0"/>
        <v>01</v>
      </c>
      <c r="C9" t="str">
        <f t="shared" si="1"/>
        <v>21</v>
      </c>
      <c r="D9" t="str">
        <f>VLOOKUP(B9,Vocabulary!B:D,2,TRUE)</f>
        <v>GET/TAKE/GRAB/HOLD/CARR/FETC*</v>
      </c>
      <c r="E9" t="str">
        <f>VLOOKUP(C9,Vocabulary!B:D,3,TRUE)</f>
        <v>LASE/PIST*</v>
      </c>
    </row>
    <row r="10" spans="1:5" x14ac:dyDescent="0.2">
      <c r="A10" s="2" t="s">
        <v>871</v>
      </c>
      <c r="B10" t="str">
        <f t="shared" si="0"/>
        <v>01</v>
      </c>
      <c r="C10" t="str">
        <f t="shared" si="1"/>
        <v>22</v>
      </c>
      <c r="D10" t="str">
        <f>VLOOKUP(B10,Vocabulary!B:D,2,TRUE)</f>
        <v>GET/TAKE/GRAB/HOLD/CARR/FETC*</v>
      </c>
      <c r="E10" t="str">
        <f>VLOOKUP(C10,Vocabulary!B:D,3,TRUE)</f>
        <v>BOX*</v>
      </c>
    </row>
    <row r="11" spans="1:5" x14ac:dyDescent="0.2">
      <c r="A11" s="2" t="s">
        <v>492</v>
      </c>
      <c r="B11" t="str">
        <f t="shared" si="0"/>
        <v>01</v>
      </c>
      <c r="C11" t="str">
        <f t="shared" si="1"/>
        <v>28</v>
      </c>
      <c r="D11" t="str">
        <f>VLOOKUP(B11,Vocabulary!B:D,2,TRUE)</f>
        <v>GET/TAKE/GRAB/HOLD/CARR/FETC*</v>
      </c>
      <c r="E11" t="str">
        <f>VLOOKUP(C11,Vocabulary!B:D,3,TRUE)</f>
        <v>RED*</v>
      </c>
    </row>
    <row r="12" spans="1:5" x14ac:dyDescent="0.2">
      <c r="A12" s="2" t="s">
        <v>493</v>
      </c>
      <c r="B12" t="str">
        <f t="shared" si="0"/>
        <v>01</v>
      </c>
      <c r="C12" t="str">
        <f t="shared" si="1"/>
        <v>14</v>
      </c>
      <c r="D12" t="str">
        <f>VLOOKUP(B12,Vocabulary!B:D,2,TRUE)</f>
        <v>GET/TAKE/GRAB/HOLD/CARR/FETC*</v>
      </c>
      <c r="E12" t="str">
        <f>VLOOKUP(C12,Vocabulary!B:D,3,TRUE)</f>
        <v>TOKE/COIN*</v>
      </c>
    </row>
    <row r="13" spans="1:5" x14ac:dyDescent="0.2">
      <c r="A13" s="2" t="s">
        <v>921</v>
      </c>
      <c r="B13" t="str">
        <f t="shared" si="0"/>
        <v>01</v>
      </c>
      <c r="C13" t="str">
        <f t="shared" si="1"/>
        <v>2B</v>
      </c>
      <c r="D13" t="str">
        <f>VLOOKUP(B13,Vocabulary!B:D,2,TRUE)</f>
        <v>GET/TAKE/GRAB/HOLD/CARR/FETC*</v>
      </c>
      <c r="E13" t="str">
        <f>VLOOKUP(C13,Vocabulary!B:D,3,TRUE)</f>
        <v>SCRE*</v>
      </c>
    </row>
    <row r="14" spans="1:5" x14ac:dyDescent="0.2">
      <c r="A14" s="2" t="s">
        <v>494</v>
      </c>
      <c r="B14" t="str">
        <f t="shared" si="0"/>
        <v>01</v>
      </c>
      <c r="C14" t="str">
        <f t="shared" si="1"/>
        <v>2D</v>
      </c>
      <c r="D14" t="str">
        <f>VLOOKUP(B14,Vocabulary!B:D,2,TRUE)</f>
        <v>GET/TAKE/GRAB/HOLD/CARR/FETC*</v>
      </c>
      <c r="E14" t="str">
        <f>VLOOKUP(C14,Vocabulary!B:D,3,TRUE)</f>
        <v>CART*</v>
      </c>
    </row>
    <row r="15" spans="1:5" x14ac:dyDescent="0.2">
      <c r="A15" s="2" t="s">
        <v>495</v>
      </c>
      <c r="B15" t="str">
        <f t="shared" si="0"/>
        <v>01</v>
      </c>
      <c r="C15" t="str">
        <f t="shared" si="1"/>
        <v>29</v>
      </c>
      <c r="D15" t="str">
        <f>VLOOKUP(B15,Vocabulary!B:D,2,TRUE)</f>
        <v>GET/TAKE/GRAB/HOLD/CARR/FETC*</v>
      </c>
      <c r="E15" t="str">
        <f>VLOOKUP(C15,Vocabulary!B:D,3,TRUE)</f>
        <v>YELL*</v>
      </c>
    </row>
    <row r="16" spans="1:5" x14ac:dyDescent="0.2">
      <c r="A16" s="2" t="s">
        <v>496</v>
      </c>
      <c r="B16" t="str">
        <f t="shared" si="0"/>
        <v>01</v>
      </c>
      <c r="C16" t="str">
        <f t="shared" si="1"/>
        <v>30</v>
      </c>
      <c r="D16" t="str">
        <f>VLOOKUP(B16,Vocabulary!B:D,2,TRUE)</f>
        <v>GET/TAKE/GRAB/HOLD/CARR/FETC*</v>
      </c>
      <c r="E16" t="str">
        <f>VLOOKUP(C16,Vocabulary!B:D,3,TRUE)</f>
        <v>PANE/CONT*</v>
      </c>
    </row>
    <row r="17" spans="1:5" x14ac:dyDescent="0.2">
      <c r="A17" s="2" t="s">
        <v>497</v>
      </c>
      <c r="B17" t="str">
        <f t="shared" si="0"/>
        <v>01</v>
      </c>
      <c r="C17" t="str">
        <f t="shared" si="1"/>
        <v>1D</v>
      </c>
      <c r="D17" t="str">
        <f>VLOOKUP(B17,Vocabulary!B:D,2,TRUE)</f>
        <v>GET/TAKE/GRAB/HOLD/CARR/FETC*</v>
      </c>
      <c r="E17" t="str">
        <f>VLOOKUP(C17,Vocabulary!B:D,3,TRUE)</f>
        <v>CANI*</v>
      </c>
    </row>
    <row r="18" spans="1:5" x14ac:dyDescent="0.2">
      <c r="A18" s="2" t="s">
        <v>498</v>
      </c>
      <c r="B18" t="str">
        <f t="shared" si="0"/>
        <v>01</v>
      </c>
      <c r="C18" t="str">
        <f t="shared" si="1"/>
        <v>13</v>
      </c>
      <c r="D18" t="str">
        <f>VLOOKUP(B18,Vocabulary!B:D,2,TRUE)</f>
        <v>GET/TAKE/GRAB/HOLD/CARR/FETC*</v>
      </c>
      <c r="E18" t="str">
        <f>VLOOKUP(C18,Vocabulary!B:D,3,TRUE)</f>
        <v>ROD/PLAS*</v>
      </c>
    </row>
    <row r="19" spans="1:5" x14ac:dyDescent="0.2">
      <c r="A19" s="2" t="s">
        <v>499</v>
      </c>
      <c r="B19" t="str">
        <f t="shared" si="0"/>
        <v>01</v>
      </c>
      <c r="C19" t="str">
        <f t="shared" si="1"/>
        <v>20</v>
      </c>
      <c r="D19" t="str">
        <f>VLOOKUP(B19,Vocabulary!B:D,2,TRUE)</f>
        <v>GET/TAKE/GRAB/HOLD/CARR/FETC*</v>
      </c>
      <c r="E19" t="str">
        <f>VLOOKUP(C19,Vocabulary!B:D,3,TRUE)</f>
        <v>KEY*</v>
      </c>
    </row>
    <row r="20" spans="1:5" x14ac:dyDescent="0.2">
      <c r="A20" s="2" t="s">
        <v>500</v>
      </c>
      <c r="B20" t="str">
        <f t="shared" si="0"/>
        <v>02</v>
      </c>
      <c r="C20" t="str">
        <f t="shared" si="1"/>
        <v>20</v>
      </c>
      <c r="D20" t="str">
        <f>VLOOKUP(B20,Vocabulary!B:D,2,TRUE)</f>
        <v>DROP/PUT*</v>
      </c>
      <c r="E20" t="str">
        <f>VLOOKUP(C20,Vocabulary!B:D,3,TRUE)</f>
        <v>KEY*</v>
      </c>
    </row>
    <row r="21" spans="1:5" x14ac:dyDescent="0.2">
      <c r="A21" s="2" t="s">
        <v>501</v>
      </c>
      <c r="B21" t="str">
        <f t="shared" si="0"/>
        <v>02</v>
      </c>
      <c r="C21" t="str">
        <f t="shared" si="1"/>
        <v>0F</v>
      </c>
      <c r="D21" t="str">
        <f>VLOOKUP(B21,Vocabulary!B:D,2,TRUE)</f>
        <v>DROP/PUT*</v>
      </c>
      <c r="E21" t="str">
        <f>VLOOKUP(C21,Vocabulary!B:D,3,TRUE)</f>
        <v>DEVI*</v>
      </c>
    </row>
    <row r="22" spans="1:5" x14ac:dyDescent="0.2">
      <c r="A22" s="2" t="s">
        <v>502</v>
      </c>
      <c r="B22" t="str">
        <f t="shared" si="0"/>
        <v>02</v>
      </c>
      <c r="C22" t="str">
        <f t="shared" si="1"/>
        <v>10</v>
      </c>
      <c r="D22" t="str">
        <f>VLOOKUP(B22,Vocabulary!B:D,2,TRUE)</f>
        <v>DROP/PUT*</v>
      </c>
      <c r="E22" t="str">
        <f>VLOOKUP(C22,Vocabulary!B:D,3,TRUE)</f>
        <v>CHEM*</v>
      </c>
    </row>
    <row r="23" spans="1:5" x14ac:dyDescent="0.2">
      <c r="A23" s="2" t="s">
        <v>503</v>
      </c>
      <c r="B23" t="str">
        <f t="shared" si="0"/>
        <v>02</v>
      </c>
      <c r="C23" t="str">
        <f t="shared" si="1"/>
        <v>14</v>
      </c>
      <c r="D23" t="str">
        <f>VLOOKUP(B23,Vocabulary!B:D,2,TRUE)</f>
        <v>DROP/PUT*</v>
      </c>
      <c r="E23" t="str">
        <f>VLOOKUP(C23,Vocabulary!B:D,3,TRUE)</f>
        <v>TOKE/COIN*</v>
      </c>
    </row>
    <row r="24" spans="1:5" x14ac:dyDescent="0.2">
      <c r="A24" s="2" t="s">
        <v>504</v>
      </c>
      <c r="B24" t="str">
        <f t="shared" si="0"/>
        <v>02</v>
      </c>
      <c r="C24" t="str">
        <f t="shared" si="1"/>
        <v>13</v>
      </c>
      <c r="D24" t="str">
        <f>VLOOKUP(B24,Vocabulary!B:D,2,TRUE)</f>
        <v>DROP/PUT*</v>
      </c>
      <c r="E24" t="str">
        <f>VLOOKUP(C24,Vocabulary!B:D,3,TRUE)</f>
        <v>ROD/PLAS*</v>
      </c>
    </row>
    <row r="25" spans="1:5" x14ac:dyDescent="0.2">
      <c r="A25" s="2" t="s">
        <v>505</v>
      </c>
      <c r="B25" t="str">
        <f t="shared" si="0"/>
        <v>02</v>
      </c>
      <c r="C25" t="str">
        <f t="shared" si="1"/>
        <v>13</v>
      </c>
      <c r="D25" t="str">
        <f>VLOOKUP(B25,Vocabulary!B:D,2,TRUE)</f>
        <v>DROP/PUT*</v>
      </c>
      <c r="E25" t="str">
        <f>VLOOKUP(C25,Vocabulary!B:D,3,TRUE)</f>
        <v>ROD/PLAS*</v>
      </c>
    </row>
    <row r="26" spans="1:5" x14ac:dyDescent="0.2">
      <c r="A26" s="2" t="s">
        <v>506</v>
      </c>
      <c r="B26" t="str">
        <f t="shared" si="0"/>
        <v>02</v>
      </c>
      <c r="C26" t="str">
        <f t="shared" si="1"/>
        <v>1D</v>
      </c>
      <c r="D26" t="str">
        <f>VLOOKUP(B26,Vocabulary!B:D,2,TRUE)</f>
        <v>DROP/PUT*</v>
      </c>
      <c r="E26" t="str">
        <f>VLOOKUP(C26,Vocabulary!B:D,3,TRUE)</f>
        <v>CANI*</v>
      </c>
    </row>
    <row r="27" spans="1:5" x14ac:dyDescent="0.2">
      <c r="A27" s="2" t="s">
        <v>507</v>
      </c>
      <c r="B27" t="str">
        <f t="shared" si="0"/>
        <v>02</v>
      </c>
      <c r="C27" t="str">
        <f t="shared" si="1"/>
        <v>27</v>
      </c>
      <c r="D27" t="str">
        <f>VLOOKUP(B27,Vocabulary!B:D,2,TRUE)</f>
        <v>DROP/PUT*</v>
      </c>
      <c r="E27" t="str">
        <f>VLOOKUP(C27,Vocabulary!B:D,3,TRUE)</f>
        <v>GREE*</v>
      </c>
    </row>
    <row r="28" spans="1:5" x14ac:dyDescent="0.2">
      <c r="A28" s="2" t="s">
        <v>508</v>
      </c>
      <c r="B28" t="str">
        <f t="shared" si="0"/>
        <v>02</v>
      </c>
      <c r="C28" t="str">
        <f t="shared" si="1"/>
        <v>21</v>
      </c>
      <c r="D28" t="str">
        <f>VLOOKUP(B28,Vocabulary!B:D,2,TRUE)</f>
        <v>DROP/PUT*</v>
      </c>
      <c r="E28" t="str">
        <f>VLOOKUP(C28,Vocabulary!B:D,3,TRUE)</f>
        <v>LASE/PIST*</v>
      </c>
    </row>
    <row r="29" spans="1:5" x14ac:dyDescent="0.2">
      <c r="A29" s="2" t="s">
        <v>509</v>
      </c>
      <c r="B29" t="str">
        <f t="shared" si="0"/>
        <v>02</v>
      </c>
      <c r="C29" t="str">
        <f t="shared" si="1"/>
        <v>22</v>
      </c>
      <c r="D29" t="str">
        <f>VLOOKUP(B29,Vocabulary!B:D,2,TRUE)</f>
        <v>DROP/PUT*</v>
      </c>
      <c r="E29" t="str">
        <f>VLOOKUP(C29,Vocabulary!B:D,3,TRUE)</f>
        <v>BOX*</v>
      </c>
    </row>
    <row r="30" spans="1:5" x14ac:dyDescent="0.2">
      <c r="A30" s="2" t="s">
        <v>510</v>
      </c>
      <c r="B30" t="str">
        <f t="shared" si="0"/>
        <v>02</v>
      </c>
      <c r="C30" t="str">
        <f t="shared" si="1"/>
        <v>28</v>
      </c>
      <c r="D30" t="str">
        <f>VLOOKUP(B30,Vocabulary!B:D,2,TRUE)</f>
        <v>DROP/PUT*</v>
      </c>
      <c r="E30" t="str">
        <f>VLOOKUP(C30,Vocabulary!B:D,3,TRUE)</f>
        <v>RED*</v>
      </c>
    </row>
    <row r="31" spans="1:5" x14ac:dyDescent="0.2">
      <c r="A31" s="2" t="s">
        <v>511</v>
      </c>
      <c r="B31" t="str">
        <f t="shared" si="0"/>
        <v>02</v>
      </c>
      <c r="C31" t="str">
        <f t="shared" si="1"/>
        <v>14</v>
      </c>
      <c r="D31" t="str">
        <f>VLOOKUP(B31,Vocabulary!B:D,2,TRUE)</f>
        <v>DROP/PUT*</v>
      </c>
      <c r="E31" t="str">
        <f>VLOOKUP(C31,Vocabulary!B:D,3,TRUE)</f>
        <v>TOKE/COIN*</v>
      </c>
    </row>
    <row r="32" spans="1:5" x14ac:dyDescent="0.2">
      <c r="A32" s="2" t="s">
        <v>512</v>
      </c>
      <c r="B32" t="str">
        <f t="shared" si="0"/>
        <v>02</v>
      </c>
      <c r="C32" t="str">
        <f t="shared" si="1"/>
        <v>2B</v>
      </c>
      <c r="D32" t="str">
        <f>VLOOKUP(B32,Vocabulary!B:D,2,TRUE)</f>
        <v>DROP/PUT*</v>
      </c>
      <c r="E32" t="str">
        <f>VLOOKUP(C32,Vocabulary!B:D,3,TRUE)</f>
        <v>SCRE*</v>
      </c>
    </row>
    <row r="33" spans="1:5" x14ac:dyDescent="0.2">
      <c r="A33" s="2" t="s">
        <v>513</v>
      </c>
      <c r="B33" t="str">
        <f t="shared" si="0"/>
        <v>02</v>
      </c>
      <c r="C33" t="str">
        <f t="shared" si="1"/>
        <v>2D</v>
      </c>
      <c r="D33" t="str">
        <f>VLOOKUP(B33,Vocabulary!B:D,2,TRUE)</f>
        <v>DROP/PUT*</v>
      </c>
      <c r="E33" t="str">
        <f>VLOOKUP(C33,Vocabulary!B:D,3,TRUE)</f>
        <v>CART*</v>
      </c>
    </row>
    <row r="34" spans="1:5" x14ac:dyDescent="0.2">
      <c r="A34" s="2" t="s">
        <v>514</v>
      </c>
      <c r="B34" t="str">
        <f t="shared" si="0"/>
        <v>02</v>
      </c>
      <c r="C34" t="str">
        <f t="shared" si="1"/>
        <v>29</v>
      </c>
      <c r="D34" t="str">
        <f>VLOOKUP(B34,Vocabulary!B:D,2,TRUE)</f>
        <v>DROP/PUT*</v>
      </c>
      <c r="E34" t="str">
        <f>VLOOKUP(C34,Vocabulary!B:D,3,TRUE)</f>
        <v>YELL*</v>
      </c>
    </row>
    <row r="35" spans="1:5" x14ac:dyDescent="0.2">
      <c r="A35" s="2" t="s">
        <v>515</v>
      </c>
      <c r="B35" t="str">
        <f t="shared" si="0"/>
        <v>02</v>
      </c>
      <c r="C35" t="str">
        <f t="shared" si="1"/>
        <v>30</v>
      </c>
      <c r="D35" t="str">
        <f>VLOOKUP(B35,Vocabulary!B:D,2,TRUE)</f>
        <v>DROP/PUT*</v>
      </c>
      <c r="E35" t="str">
        <f>VLOOKUP(C35,Vocabulary!B:D,3,TRUE)</f>
        <v>PANE/CONT*</v>
      </c>
    </row>
    <row r="36" spans="1:5" x14ac:dyDescent="0.2">
      <c r="A36" s="2" t="s">
        <v>516</v>
      </c>
      <c r="B36" t="str">
        <f t="shared" si="0"/>
        <v>02</v>
      </c>
      <c r="C36" t="str">
        <f t="shared" si="1"/>
        <v>1D</v>
      </c>
      <c r="D36" t="str">
        <f>VLOOKUP(B36,Vocabulary!B:D,2,TRUE)</f>
        <v>DROP/PUT*</v>
      </c>
      <c r="E36" t="str">
        <f>VLOOKUP(C36,Vocabulary!B:D,3,TRUE)</f>
        <v>CANI*</v>
      </c>
    </row>
    <row r="37" spans="1:5" x14ac:dyDescent="0.2">
      <c r="A37" s="2" t="s">
        <v>517</v>
      </c>
      <c r="B37" t="str">
        <f t="shared" si="0"/>
        <v>02</v>
      </c>
      <c r="C37" t="str">
        <f t="shared" si="1"/>
        <v>13</v>
      </c>
      <c r="D37" t="str">
        <f>VLOOKUP(B37,Vocabulary!B:D,2,TRUE)</f>
        <v>DROP/PUT*</v>
      </c>
      <c r="E37" t="str">
        <f>VLOOKUP(C37,Vocabulary!B:D,3,TRUE)</f>
        <v>ROD/PLAS*</v>
      </c>
    </row>
    <row r="38" spans="1:5" x14ac:dyDescent="0.2">
      <c r="A38" s="2" t="s">
        <v>518</v>
      </c>
      <c r="B38" t="str">
        <f t="shared" si="0"/>
        <v>03</v>
      </c>
      <c r="C38" t="str">
        <f t="shared" si="1"/>
        <v>08</v>
      </c>
      <c r="D38" t="str">
        <f>VLOOKUP(B38,Vocabulary!B:D,2,TRUE)</f>
        <v>GO/WALK/RIDE/STEP/ENTE/EXIT/RUN/CROS/SWIM/JUMP*</v>
      </c>
      <c r="E38" t="str">
        <f>VLOOKUP(C38,Vocabulary!B:D,3,TRUE)</f>
        <v>DOOR*</v>
      </c>
    </row>
    <row r="39" spans="1:5" x14ac:dyDescent="0.2">
      <c r="A39" s="2" t="s">
        <v>519</v>
      </c>
      <c r="B39" t="str">
        <f t="shared" si="0"/>
        <v>03</v>
      </c>
      <c r="C39" t="str">
        <f t="shared" si="1"/>
        <v>0A</v>
      </c>
      <c r="D39" t="str">
        <f>VLOOKUP(B39,Vocabulary!B:D,2,TRUE)</f>
        <v>GO/WALK/RIDE/STEP/ENTE/EXIT/RUN/CROS/SWIM/JUMP*</v>
      </c>
      <c r="E39" t="str">
        <f>VLOOKUP(C39,Vocabulary!B:D,3,TRUE)</f>
        <v>OPEN/HOLE*</v>
      </c>
    </row>
    <row r="40" spans="1:5" x14ac:dyDescent="0.2">
      <c r="A40" s="2" t="s">
        <v>520</v>
      </c>
      <c r="B40" t="str">
        <f t="shared" si="0"/>
        <v>03</v>
      </c>
      <c r="C40" t="str">
        <f t="shared" si="1"/>
        <v>08</v>
      </c>
      <c r="D40" t="str">
        <f>VLOOKUP(B40,Vocabulary!B:D,2,TRUE)</f>
        <v>GO/WALK/RIDE/STEP/ENTE/EXIT/RUN/CROS/SWIM/JUMP*</v>
      </c>
      <c r="E40" t="str">
        <f>VLOOKUP(C40,Vocabulary!B:D,3,TRUE)</f>
        <v>DOOR*</v>
      </c>
    </row>
    <row r="41" spans="1:5" x14ac:dyDescent="0.2">
      <c r="A41" s="2" t="s">
        <v>874</v>
      </c>
      <c r="B41" t="str">
        <f t="shared" si="0"/>
        <v>06</v>
      </c>
      <c r="C41" t="str">
        <f t="shared" si="1"/>
        <v>31</v>
      </c>
      <c r="D41" t="str">
        <f>VLOOKUP(B41,Vocabulary!B:D,2,TRUE)</f>
        <v>EXAM/LOOK/INSP/SEAR/VIEW/SEE/READ*</v>
      </c>
      <c r="E41" t="str">
        <f>VLOOKUP(C41,Vocabulary!B:D,3,TRUE)</f>
        <v>SIGN*</v>
      </c>
    </row>
    <row r="42" spans="1:5" x14ac:dyDescent="0.2">
      <c r="A42" s="2" t="s">
        <v>521</v>
      </c>
      <c r="B42" t="str">
        <f t="shared" si="0"/>
        <v>03</v>
      </c>
      <c r="C42" t="str">
        <f t="shared" si="1"/>
        <v>32</v>
      </c>
      <c r="D42" t="str">
        <f>VLOOKUP(B42,Vocabulary!B:D,2,TRUE)</f>
        <v>GO/WALK/RIDE/STEP/ENTE/EXIT/RUN/CROS/SWIM/JUMP*</v>
      </c>
      <c r="E42" t="str">
        <f>VLOOKUP(C42,Vocabulary!B:D,3,TRUE)</f>
        <v>LAKE/WATE*</v>
      </c>
    </row>
    <row r="43" spans="1:5" x14ac:dyDescent="0.2">
      <c r="A43" s="2" t="s">
        <v>522</v>
      </c>
      <c r="B43" t="str">
        <f t="shared" si="0"/>
        <v>01</v>
      </c>
      <c r="C43" t="str">
        <f t="shared" si="1"/>
        <v>33</v>
      </c>
      <c r="D43" t="str">
        <f>VLOOKUP(B43,Vocabulary!B:D,2,TRUE)</f>
        <v>GET/TAKE/GRAB/HOLD/CARR/FETC*</v>
      </c>
      <c r="E43" t="str">
        <f>VLOOKUP(C43,Vocabulary!B:D,3,TRUE)</f>
        <v>SPEA*</v>
      </c>
    </row>
    <row r="44" spans="1:5" x14ac:dyDescent="0.2">
      <c r="A44" s="2" t="s">
        <v>523</v>
      </c>
      <c r="B44" t="str">
        <f t="shared" si="0"/>
        <v>13</v>
      </c>
      <c r="C44" t="str">
        <f t="shared" si="1"/>
        <v>08</v>
      </c>
      <c r="D44" t="str">
        <f>VLOOKUP(B44,Vocabulary!B:D,2,TRUE)</f>
        <v>OPEN/UNLO/UNCO*</v>
      </c>
      <c r="E44" t="str">
        <f>VLOOKUP(C44,Vocabulary!B:D,3,TRUE)</f>
        <v>DOOR*</v>
      </c>
    </row>
    <row r="45" spans="1:5" x14ac:dyDescent="0.2">
      <c r="A45" s="2" t="s">
        <v>922</v>
      </c>
      <c r="B45" t="str">
        <f t="shared" si="0"/>
        <v>15</v>
      </c>
      <c r="C45" t="str">
        <f t="shared" si="1"/>
        <v>36</v>
      </c>
      <c r="D45" t="str">
        <f>VLOOKUP(B45,Vocabulary!B:D,2,TRUE)</f>
        <v>SAY/SCRE/HOLL/YELL*</v>
      </c>
      <c r="E45" t="str">
        <f>VLOOKUP(C45,Vocabulary!B:D,3,TRUE)</f>
        <v>COSMIC*</v>
      </c>
    </row>
    <row r="46" spans="1:5" x14ac:dyDescent="0.2">
      <c r="A46" s="2" t="s">
        <v>524</v>
      </c>
      <c r="B46" t="str">
        <f t="shared" si="0"/>
        <v>06</v>
      </c>
      <c r="C46" t="str">
        <f t="shared" si="1"/>
        <v>32</v>
      </c>
      <c r="D46" t="str">
        <f>VLOOKUP(B46,Vocabulary!B:D,2,TRUE)</f>
        <v>EXAM/LOOK/INSP/SEAR/VIEW/SEE/READ*</v>
      </c>
      <c r="E46" t="str">
        <f>VLOOKUP(C46,Vocabulary!B:D,3,TRUE)</f>
        <v>LAKE/WATE*</v>
      </c>
    </row>
    <row r="47" spans="1:5" x14ac:dyDescent="0.2">
      <c r="A47" s="2">
        <v>30807010916</v>
      </c>
      <c r="B47" t="str">
        <f t="shared" si="0"/>
        <v>30</v>
      </c>
      <c r="C47" t="str">
        <f t="shared" si="1"/>
        <v>80</v>
      </c>
      <c r="D47">
        <f>VLOOKUP(B47,Vocabulary!B:D,2,TRUE)</f>
        <v>0</v>
      </c>
      <c r="E47" t="str">
        <f>VLOOKUP(C47,Vocabulary!B:D,3,TRUE)</f>
        <v>ESCA</v>
      </c>
    </row>
    <row r="48" spans="1:5" x14ac:dyDescent="0.2">
      <c r="A48" s="2">
        <v>30807020916</v>
      </c>
      <c r="B48" t="str">
        <f t="shared" si="0"/>
        <v>30</v>
      </c>
      <c r="C48" t="str">
        <f t="shared" si="1"/>
        <v>80</v>
      </c>
      <c r="D48">
        <f>VLOOKUP(B48,Vocabulary!B:D,2,TRUE)</f>
        <v>0</v>
      </c>
      <c r="E48" t="str">
        <f>VLOOKUP(C48,Vocabulary!B:D,3,TRUE)</f>
        <v>ESCA</v>
      </c>
    </row>
    <row r="49" spans="1:5" x14ac:dyDescent="0.2">
      <c r="A49" s="2" t="s">
        <v>875</v>
      </c>
      <c r="B49" t="str">
        <f t="shared" si="0"/>
        <v>06</v>
      </c>
      <c r="C49" t="str">
        <f t="shared" si="1"/>
        <v>31</v>
      </c>
      <c r="D49" t="str">
        <f>VLOOKUP(B49,Vocabulary!B:D,2,TRUE)</f>
        <v>EXAM/LOOK/INSP/SEAR/VIEW/SEE/READ*</v>
      </c>
      <c r="E49" t="str">
        <f>VLOOKUP(C49,Vocabulary!B:D,3,TRUE)</f>
        <v>SIGN*</v>
      </c>
    </row>
    <row r="50" spans="1:5" x14ac:dyDescent="0.2">
      <c r="A50" s="2" t="s">
        <v>525</v>
      </c>
      <c r="B50" t="str">
        <f t="shared" si="0"/>
        <v>03</v>
      </c>
      <c r="C50" t="str">
        <f t="shared" si="1"/>
        <v>0A</v>
      </c>
      <c r="D50" t="str">
        <f>VLOOKUP(B50,Vocabulary!B:D,2,TRUE)</f>
        <v>GO/WALK/RIDE/STEP/ENTE/EXIT/RUN/CROS/SWIM/JUMP*</v>
      </c>
      <c r="E50" t="str">
        <f>VLOOKUP(C50,Vocabulary!B:D,3,TRUE)</f>
        <v>OPEN/HOLE*</v>
      </c>
    </row>
    <row r="51" spans="1:5" x14ac:dyDescent="0.2">
      <c r="A51" s="2" t="s">
        <v>526</v>
      </c>
      <c r="B51" t="str">
        <f t="shared" si="0"/>
        <v>06</v>
      </c>
      <c r="C51" t="str">
        <f t="shared" si="1"/>
        <v>0E</v>
      </c>
      <c r="D51" t="str">
        <f>VLOOKUP(B51,Vocabulary!B:D,2,TRUE)</f>
        <v>EXAM/LOOK/INSP/SEAR/VIEW/SEE/READ*</v>
      </c>
      <c r="E51" t="str">
        <f>VLOOKUP(C51,Vocabulary!B:D,3,TRUE)</f>
        <v>ROBO*</v>
      </c>
    </row>
    <row r="52" spans="1:5" x14ac:dyDescent="0.2">
      <c r="A52" s="2" t="s">
        <v>527</v>
      </c>
      <c r="B52" t="str">
        <f t="shared" si="0"/>
        <v>04</v>
      </c>
      <c r="C52" t="str">
        <f t="shared" si="1"/>
        <v>0C</v>
      </c>
      <c r="D52" t="str">
        <f>VLOOKUP(B52,Vocabulary!B:D,2,TRUE)</f>
        <v>TOUC/FEEL*</v>
      </c>
      <c r="E52" t="str">
        <f>VLOOKUP(C52,Vocabulary!B:D,3,TRUE)</f>
        <v>LIGH/BEAM*</v>
      </c>
    </row>
    <row r="53" spans="1:5" x14ac:dyDescent="0.2">
      <c r="A53" s="2">
        <v>30807060916</v>
      </c>
      <c r="B53" t="str">
        <f t="shared" si="0"/>
        <v>30</v>
      </c>
      <c r="C53" t="str">
        <f t="shared" si="1"/>
        <v>80</v>
      </c>
      <c r="D53">
        <f>VLOOKUP(B53,Vocabulary!B:D,2,TRUE)</f>
        <v>0</v>
      </c>
      <c r="E53" t="str">
        <f>VLOOKUP(C53,Vocabulary!B:D,3,TRUE)</f>
        <v>ESCA</v>
      </c>
    </row>
    <row r="54" spans="1:5" x14ac:dyDescent="0.2">
      <c r="A54" s="2">
        <v>30807060916</v>
      </c>
      <c r="B54" t="str">
        <f t="shared" si="0"/>
        <v>30</v>
      </c>
      <c r="C54" t="str">
        <f t="shared" si="1"/>
        <v>80</v>
      </c>
      <c r="D54">
        <f>VLOOKUP(B54,Vocabulary!B:D,2,TRUE)</f>
        <v>0</v>
      </c>
      <c r="E54" t="str">
        <f>VLOOKUP(C54,Vocabulary!B:D,3,TRUE)</f>
        <v>ESCA</v>
      </c>
    </row>
    <row r="55" spans="1:5" x14ac:dyDescent="0.2">
      <c r="A55" s="2">
        <v>30807060908</v>
      </c>
      <c r="B55" t="str">
        <f t="shared" si="0"/>
        <v>30</v>
      </c>
      <c r="C55" t="str">
        <f t="shared" si="1"/>
        <v>80</v>
      </c>
      <c r="D55">
        <f>VLOOKUP(B55,Vocabulary!B:D,2,TRUE)</f>
        <v>0</v>
      </c>
      <c r="E55" t="str">
        <f>VLOOKUP(C55,Vocabulary!B:D,3,TRUE)</f>
        <v>ESCA</v>
      </c>
    </row>
    <row r="56" spans="1:5" x14ac:dyDescent="0.2">
      <c r="A56" s="2" t="s">
        <v>528</v>
      </c>
      <c r="B56" t="str">
        <f t="shared" si="0"/>
        <v>03</v>
      </c>
      <c r="C56" t="str">
        <f t="shared" si="1"/>
        <v>0B</v>
      </c>
      <c r="D56" t="str">
        <f>VLOOKUP(B56,Vocabulary!B:D,2,TRUE)</f>
        <v>GO/WALK/RIDE/STEP/ENTE/EXIT/RUN/CROS/SWIM/JUMP*</v>
      </c>
      <c r="E56" t="str">
        <f>VLOOKUP(C56,Vocabulary!B:D,3,TRUE)</f>
        <v>BUIL*</v>
      </c>
    </row>
    <row r="57" spans="1:5" x14ac:dyDescent="0.2">
      <c r="A57" s="2" t="s">
        <v>529</v>
      </c>
      <c r="B57" t="str">
        <f t="shared" si="0"/>
        <v>06</v>
      </c>
      <c r="C57" t="str">
        <f t="shared" si="1"/>
        <v>0C</v>
      </c>
      <c r="D57" t="str">
        <f>VLOOKUP(B57,Vocabulary!B:D,2,TRUE)</f>
        <v>EXAM/LOOK/INSP/SEAR/VIEW/SEE/READ*</v>
      </c>
      <c r="E57" t="str">
        <f>VLOOKUP(C57,Vocabulary!B:D,3,TRUE)</f>
        <v>LIGH/BEAM*</v>
      </c>
    </row>
    <row r="58" spans="1:5" x14ac:dyDescent="0.2">
      <c r="A58" s="2" t="s">
        <v>530</v>
      </c>
      <c r="B58" t="str">
        <f t="shared" si="0"/>
        <v>01</v>
      </c>
      <c r="C58" t="str">
        <f t="shared" si="1"/>
        <v>0E</v>
      </c>
      <c r="D58" t="str">
        <f>VLOOKUP(B58,Vocabulary!B:D,2,TRUE)</f>
        <v>GET/TAKE/GRAB/HOLD/CARR/FETC*</v>
      </c>
      <c r="E58" t="str">
        <f>VLOOKUP(C58,Vocabulary!B:D,3,TRUE)</f>
        <v>ROBO*</v>
      </c>
    </row>
    <row r="59" spans="1:5" x14ac:dyDescent="0.2">
      <c r="A59" s="2" t="s">
        <v>531</v>
      </c>
      <c r="B59" t="str">
        <f t="shared" si="0"/>
        <v>05</v>
      </c>
      <c r="C59" t="str">
        <f t="shared" si="1"/>
        <v>0E</v>
      </c>
      <c r="D59" t="str">
        <f>VLOOKUP(B59,Vocabulary!B:D,2,TRUE)</f>
        <v>KILL/DEST/WREC/RUIN/SMAS/BREA/ATTA*</v>
      </c>
      <c r="E59" t="str">
        <f>VLOOKUP(C59,Vocabulary!B:D,3,TRUE)</f>
        <v>ROBO*</v>
      </c>
    </row>
    <row r="60" spans="1:5" x14ac:dyDescent="0.2">
      <c r="A60" s="2" t="s">
        <v>532</v>
      </c>
      <c r="B60" t="str">
        <f t="shared" si="0"/>
        <v>03</v>
      </c>
      <c r="C60" t="str">
        <f t="shared" si="1"/>
        <v>08</v>
      </c>
      <c r="D60" t="str">
        <f>VLOOKUP(B60,Vocabulary!B:D,2,TRUE)</f>
        <v>GO/WALK/RIDE/STEP/ENTE/EXIT/RUN/CROS/SWIM/JUMP*</v>
      </c>
      <c r="E60" t="str">
        <f>VLOOKUP(C60,Vocabulary!B:D,3,TRUE)</f>
        <v>DOOR*</v>
      </c>
    </row>
    <row r="61" spans="1:5" x14ac:dyDescent="0.2">
      <c r="A61" s="2">
        <v>30807070908</v>
      </c>
      <c r="B61" t="str">
        <f t="shared" si="0"/>
        <v>30</v>
      </c>
      <c r="C61" t="str">
        <f t="shared" si="1"/>
        <v>80</v>
      </c>
      <c r="D61">
        <f>VLOOKUP(B61,Vocabulary!B:D,2,TRUE)</f>
        <v>0</v>
      </c>
      <c r="E61" t="str">
        <f>VLOOKUP(C61,Vocabulary!B:D,3,TRUE)</f>
        <v>ESCA</v>
      </c>
    </row>
    <row r="62" spans="1:5" x14ac:dyDescent="0.2">
      <c r="A62" s="2">
        <v>30807070916</v>
      </c>
      <c r="B62" t="str">
        <f t="shared" si="0"/>
        <v>30</v>
      </c>
      <c r="C62" t="str">
        <f t="shared" si="1"/>
        <v>80</v>
      </c>
      <c r="D62">
        <f>VLOOKUP(B62,Vocabulary!B:D,2,TRUE)</f>
        <v>0</v>
      </c>
      <c r="E62" t="str">
        <f>VLOOKUP(C62,Vocabulary!B:D,3,TRUE)</f>
        <v>ESCA</v>
      </c>
    </row>
    <row r="63" spans="1:5" x14ac:dyDescent="0.2">
      <c r="A63" s="2" t="s">
        <v>533</v>
      </c>
      <c r="B63" t="str">
        <f t="shared" si="0"/>
        <v>04</v>
      </c>
      <c r="C63" t="str">
        <f t="shared" si="1"/>
        <v>0C</v>
      </c>
      <c r="D63" t="str">
        <f>VLOOKUP(B63,Vocabulary!B:D,2,TRUE)</f>
        <v>TOUC/FEEL*</v>
      </c>
      <c r="E63" t="str">
        <f>VLOOKUP(C63,Vocabulary!B:D,3,TRUE)</f>
        <v>LIGH/BEAM*</v>
      </c>
    </row>
    <row r="64" spans="1:5" x14ac:dyDescent="0.2">
      <c r="A64" s="2" t="s">
        <v>534</v>
      </c>
      <c r="B64" t="str">
        <f t="shared" si="0"/>
        <v>07</v>
      </c>
      <c r="C64" t="str">
        <f t="shared" si="1"/>
        <v>10</v>
      </c>
      <c r="D64" t="str">
        <f>VLOOKUP(B64,Vocabulary!B:D,2,TRUE)</f>
        <v>MIX/BLEN/STIR*</v>
      </c>
      <c r="E64" t="str">
        <f>VLOOKUP(C64,Vocabulary!B:D,3,TRUE)</f>
        <v>CHEM*</v>
      </c>
    </row>
    <row r="65" spans="1:5" x14ac:dyDescent="0.2">
      <c r="A65" s="2" t="s">
        <v>535</v>
      </c>
      <c r="B65" t="str">
        <f t="shared" si="0"/>
        <v>13</v>
      </c>
      <c r="C65" t="str">
        <f t="shared" si="1"/>
        <v>08</v>
      </c>
      <c r="D65" t="str">
        <f>VLOOKUP(B65,Vocabulary!B:D,2,TRUE)</f>
        <v>OPEN/UNLO/UNCO*</v>
      </c>
      <c r="E65" t="str">
        <f>VLOOKUP(C65,Vocabulary!B:D,3,TRUE)</f>
        <v>DOOR*</v>
      </c>
    </row>
    <row r="66" spans="1:5" x14ac:dyDescent="0.2">
      <c r="A66" s="2" t="s">
        <v>536</v>
      </c>
      <c r="B66" t="str">
        <f t="shared" si="0"/>
        <v>13</v>
      </c>
      <c r="C66" t="str">
        <f t="shared" si="1"/>
        <v>08</v>
      </c>
      <c r="D66" t="str">
        <f>VLOOKUP(B66,Vocabulary!B:D,2,TRUE)</f>
        <v>OPEN/UNLO/UNCO*</v>
      </c>
      <c r="E66" t="str">
        <f>VLOOKUP(C66,Vocabulary!B:D,3,TRUE)</f>
        <v>DOOR*</v>
      </c>
    </row>
    <row r="67" spans="1:5" x14ac:dyDescent="0.2">
      <c r="A67" s="2" t="s">
        <v>537</v>
      </c>
      <c r="B67" t="str">
        <f t="shared" ref="B67:B130" si="2">LEFT(A67,2)</f>
        <v>13</v>
      </c>
      <c r="C67" t="str">
        <f t="shared" ref="C67:C130" si="3">MID(A67,3,2)</f>
        <v>08</v>
      </c>
      <c r="D67" t="str">
        <f>VLOOKUP(B67,Vocabulary!B:D,2,TRUE)</f>
        <v>OPEN/UNLO/UNCO*</v>
      </c>
      <c r="E67" t="str">
        <f>VLOOKUP(C67,Vocabulary!B:D,3,TRUE)</f>
        <v>DOOR*</v>
      </c>
    </row>
    <row r="68" spans="1:5" x14ac:dyDescent="0.2">
      <c r="A68" s="2" t="s">
        <v>538</v>
      </c>
      <c r="B68" t="str">
        <f t="shared" si="2"/>
        <v>06</v>
      </c>
      <c r="C68" t="str">
        <f t="shared" si="3"/>
        <v>0C</v>
      </c>
      <c r="D68" t="str">
        <f>VLOOKUP(B68,Vocabulary!B:D,2,TRUE)</f>
        <v>EXAM/LOOK/INSP/SEAR/VIEW/SEE/READ*</v>
      </c>
      <c r="E68" t="str">
        <f>VLOOKUP(C68,Vocabulary!B:D,3,TRUE)</f>
        <v>LIGH/BEAM*</v>
      </c>
    </row>
    <row r="69" spans="1:5" x14ac:dyDescent="0.2">
      <c r="A69" s="2" t="s">
        <v>539</v>
      </c>
      <c r="B69" t="str">
        <f t="shared" si="2"/>
        <v>04</v>
      </c>
      <c r="C69" t="str">
        <f t="shared" si="3"/>
        <v>0C</v>
      </c>
      <c r="D69" t="str">
        <f>VLOOKUP(B69,Vocabulary!B:D,2,TRUE)</f>
        <v>TOUC/FEEL*</v>
      </c>
      <c r="E69" t="str">
        <f>VLOOKUP(C69,Vocabulary!B:D,3,TRUE)</f>
        <v>LIGH/BEAM*</v>
      </c>
    </row>
    <row r="70" spans="1:5" x14ac:dyDescent="0.2">
      <c r="A70" s="2" t="s">
        <v>540</v>
      </c>
      <c r="B70" t="str">
        <f t="shared" si="2"/>
        <v>04</v>
      </c>
      <c r="C70" t="str">
        <f t="shared" si="3"/>
        <v>0C</v>
      </c>
      <c r="D70" t="str">
        <f>VLOOKUP(B70,Vocabulary!B:D,2,TRUE)</f>
        <v>TOUC/FEEL*</v>
      </c>
      <c r="E70" t="str">
        <f>VLOOKUP(C70,Vocabulary!B:D,3,TRUE)</f>
        <v>LIGH/BEAM*</v>
      </c>
    </row>
    <row r="71" spans="1:5" x14ac:dyDescent="0.2">
      <c r="A71" s="2" t="s">
        <v>541</v>
      </c>
      <c r="B71" t="str">
        <f t="shared" si="2"/>
        <v>03</v>
      </c>
      <c r="C71" t="str">
        <f t="shared" si="3"/>
        <v>08</v>
      </c>
      <c r="D71" t="str">
        <f>VLOOKUP(B71,Vocabulary!B:D,2,TRUE)</f>
        <v>GO/WALK/RIDE/STEP/ENTE/EXIT/RUN/CROS/SWIM/JUMP*</v>
      </c>
      <c r="E71" t="str">
        <f>VLOOKUP(C71,Vocabulary!B:D,3,TRUE)</f>
        <v>DOOR*</v>
      </c>
    </row>
    <row r="72" spans="1:5" x14ac:dyDescent="0.2">
      <c r="A72" s="2" t="s">
        <v>542</v>
      </c>
      <c r="B72" t="str">
        <f t="shared" si="2"/>
        <v>03</v>
      </c>
      <c r="C72" t="str">
        <f t="shared" si="3"/>
        <v>08</v>
      </c>
      <c r="D72" t="str">
        <f>VLOOKUP(B72,Vocabulary!B:D,2,TRUE)</f>
        <v>GO/WALK/RIDE/STEP/ENTE/EXIT/RUN/CROS/SWIM/JUMP*</v>
      </c>
      <c r="E72" t="str">
        <f>VLOOKUP(C72,Vocabulary!B:D,3,TRUE)</f>
        <v>DOOR*</v>
      </c>
    </row>
    <row r="73" spans="1:5" x14ac:dyDescent="0.2">
      <c r="A73" s="2" t="s">
        <v>543</v>
      </c>
      <c r="B73" t="str">
        <f t="shared" si="2"/>
        <v>03</v>
      </c>
      <c r="C73" t="str">
        <f t="shared" si="3"/>
        <v>08</v>
      </c>
      <c r="D73" t="str">
        <f>VLOOKUP(B73,Vocabulary!B:D,2,TRUE)</f>
        <v>GO/WALK/RIDE/STEP/ENTE/EXIT/RUN/CROS/SWIM/JUMP*</v>
      </c>
      <c r="E73" t="str">
        <f>VLOOKUP(C73,Vocabulary!B:D,3,TRUE)</f>
        <v>DOOR*</v>
      </c>
    </row>
    <row r="74" spans="1:5" x14ac:dyDescent="0.2">
      <c r="A74" s="2" t="s">
        <v>544</v>
      </c>
      <c r="B74" t="str">
        <f t="shared" si="2"/>
        <v>03</v>
      </c>
      <c r="C74" t="str">
        <f t="shared" si="3"/>
        <v>12</v>
      </c>
      <c r="D74" t="str">
        <f>VLOOKUP(B74,Vocabulary!B:D,2,TRUE)</f>
        <v>GO/WALK/RIDE/STEP/ENTE/EXIT/RUN/CROS/SWIM/JUMP*</v>
      </c>
      <c r="E74" t="str">
        <f>VLOOKUP(C74,Vocabulary!B:D,3,TRUE)</f>
        <v>REPO*</v>
      </c>
    </row>
    <row r="75" spans="1:5" x14ac:dyDescent="0.2">
      <c r="A75" s="2" t="s">
        <v>545</v>
      </c>
      <c r="B75" t="str">
        <f t="shared" si="2"/>
        <v>0A</v>
      </c>
      <c r="C75" t="str">
        <f t="shared" si="3"/>
        <v>13</v>
      </c>
      <c r="D75" t="str">
        <f>VLOOKUP(B75,Vocabulary!B:D,2,TRUE)</f>
        <v>BEND/FLEX/TWIS*</v>
      </c>
      <c r="E75" t="str">
        <f>VLOOKUP(C75,Vocabulary!B:D,3,TRUE)</f>
        <v>ROD/PLAS*</v>
      </c>
    </row>
    <row r="76" spans="1:5" x14ac:dyDescent="0.2">
      <c r="A76" s="2" t="s">
        <v>546</v>
      </c>
      <c r="B76" t="str">
        <f t="shared" si="2"/>
        <v>05</v>
      </c>
      <c r="C76" t="str">
        <f t="shared" si="3"/>
        <v>13</v>
      </c>
      <c r="D76" t="str">
        <f>VLOOKUP(B76,Vocabulary!B:D,2,TRUE)</f>
        <v>KILL/DEST/WREC/RUIN/SMAS/BREA/ATTA*</v>
      </c>
      <c r="E76" t="str">
        <f>VLOOKUP(C76,Vocabulary!B:D,3,TRUE)</f>
        <v>ROD/PLAS*</v>
      </c>
    </row>
    <row r="77" spans="1:5" x14ac:dyDescent="0.2">
      <c r="A77" s="2" t="s">
        <v>547</v>
      </c>
      <c r="B77" t="str">
        <f t="shared" si="2"/>
        <v>0A</v>
      </c>
      <c r="C77" t="str">
        <f t="shared" si="3"/>
        <v>13</v>
      </c>
      <c r="D77" t="str">
        <f>VLOOKUP(B77,Vocabulary!B:D,2,TRUE)</f>
        <v>BEND/FLEX/TWIS*</v>
      </c>
      <c r="E77" t="str">
        <f>VLOOKUP(C77,Vocabulary!B:D,3,TRUE)</f>
        <v>ROD/PLAS*</v>
      </c>
    </row>
    <row r="78" spans="1:5" x14ac:dyDescent="0.2">
      <c r="A78" s="2" t="s">
        <v>548</v>
      </c>
      <c r="B78" t="str">
        <f t="shared" si="2"/>
        <v>05</v>
      </c>
      <c r="C78" t="str">
        <f t="shared" si="3"/>
        <v>13</v>
      </c>
      <c r="D78" t="str">
        <f>VLOOKUP(B78,Vocabulary!B:D,2,TRUE)</f>
        <v>KILL/DEST/WREC/RUIN/SMAS/BREA/ATTA*</v>
      </c>
      <c r="E78" t="str">
        <f>VLOOKUP(C78,Vocabulary!B:D,3,TRUE)</f>
        <v>ROD/PLAS*</v>
      </c>
    </row>
    <row r="79" spans="1:5" x14ac:dyDescent="0.2">
      <c r="A79" s="2" t="s">
        <v>549</v>
      </c>
      <c r="B79" t="str">
        <f t="shared" si="2"/>
        <v>05</v>
      </c>
      <c r="C79" t="str">
        <f t="shared" si="3"/>
        <v>13</v>
      </c>
      <c r="D79" t="str">
        <f>VLOOKUP(B79,Vocabulary!B:D,2,TRUE)</f>
        <v>KILL/DEST/WREC/RUIN/SMAS/BREA/ATTA*</v>
      </c>
      <c r="E79" t="str">
        <f>VLOOKUP(C79,Vocabulary!B:D,3,TRUE)</f>
        <v>ROD/PLAS*</v>
      </c>
    </row>
    <row r="80" spans="1:5" x14ac:dyDescent="0.2">
      <c r="A80" s="2" t="s">
        <v>550</v>
      </c>
      <c r="B80" t="str">
        <f t="shared" si="2"/>
        <v>05</v>
      </c>
      <c r="C80" t="str">
        <f t="shared" si="3"/>
        <v>13</v>
      </c>
      <c r="D80" t="str">
        <f>VLOOKUP(B80,Vocabulary!B:D,2,TRUE)</f>
        <v>KILL/DEST/WREC/RUIN/SMAS/BREA/ATTA*</v>
      </c>
      <c r="E80" t="str">
        <f>VLOOKUP(C80,Vocabulary!B:D,3,TRUE)</f>
        <v>ROD/PLAS*</v>
      </c>
    </row>
    <row r="81" spans="1:5" x14ac:dyDescent="0.2">
      <c r="A81" s="2" t="s">
        <v>551</v>
      </c>
      <c r="B81" t="str">
        <f t="shared" si="2"/>
        <v>0A</v>
      </c>
      <c r="C81" t="str">
        <f t="shared" si="3"/>
        <v>13</v>
      </c>
      <c r="D81" t="str">
        <f>VLOOKUP(B81,Vocabulary!B:D,2,TRUE)</f>
        <v>BEND/FLEX/TWIS*</v>
      </c>
      <c r="E81" t="str">
        <f>VLOOKUP(C81,Vocabulary!B:D,3,TRUE)</f>
        <v>ROD/PLAS*</v>
      </c>
    </row>
    <row r="82" spans="1:5" x14ac:dyDescent="0.2">
      <c r="A82" s="2" t="s">
        <v>552</v>
      </c>
      <c r="B82" t="str">
        <f t="shared" si="2"/>
        <v>01</v>
      </c>
      <c r="C82" t="str">
        <f t="shared" si="3"/>
        <v>15</v>
      </c>
      <c r="D82" t="str">
        <f>VLOOKUP(B82,Vocabulary!B:D,2,TRUE)</f>
        <v>GET/TAKE/GRAB/HOLD/CARR/FETC*</v>
      </c>
      <c r="E82" t="str">
        <f>VLOOKUP(C82,Vocabulary!B:D,3,TRUE)</f>
        <v>CRYS/CUBE*</v>
      </c>
    </row>
    <row r="83" spans="1:5" x14ac:dyDescent="0.2">
      <c r="A83" s="2" t="s">
        <v>553</v>
      </c>
      <c r="B83" t="str">
        <f t="shared" si="2"/>
        <v>06</v>
      </c>
      <c r="C83" t="str">
        <f t="shared" si="3"/>
        <v>15</v>
      </c>
      <c r="D83" t="str">
        <f>VLOOKUP(B83,Vocabulary!B:D,2,TRUE)</f>
        <v>EXAM/LOOK/INSP/SEAR/VIEW/SEE/READ*</v>
      </c>
      <c r="E83" t="str">
        <f>VLOOKUP(C83,Vocabulary!B:D,3,TRUE)</f>
        <v>CRYS/CUBE*</v>
      </c>
    </row>
    <row r="84" spans="1:5" x14ac:dyDescent="0.2">
      <c r="A84" s="2" t="s">
        <v>554</v>
      </c>
      <c r="B84" t="str">
        <f t="shared" si="2"/>
        <v>04</v>
      </c>
      <c r="C84" t="str">
        <f t="shared" si="3"/>
        <v>08</v>
      </c>
      <c r="D84" t="str">
        <f>VLOOKUP(B84,Vocabulary!B:D,2,TRUE)</f>
        <v>TOUC/FEEL*</v>
      </c>
      <c r="E84" t="str">
        <f>VLOOKUP(C84,Vocabulary!B:D,3,TRUE)</f>
        <v>DOOR*</v>
      </c>
    </row>
    <row r="85" spans="1:5" x14ac:dyDescent="0.2">
      <c r="A85" s="2" t="s">
        <v>555</v>
      </c>
      <c r="B85" t="str">
        <f t="shared" si="2"/>
        <v>04</v>
      </c>
      <c r="C85" t="str">
        <f t="shared" si="3"/>
        <v>08</v>
      </c>
      <c r="D85" t="str">
        <f>VLOOKUP(B85,Vocabulary!B:D,2,TRUE)</f>
        <v>TOUC/FEEL*</v>
      </c>
      <c r="E85" t="str">
        <f>VLOOKUP(C85,Vocabulary!B:D,3,TRUE)</f>
        <v>DOOR*</v>
      </c>
    </row>
    <row r="86" spans="1:5" x14ac:dyDescent="0.2">
      <c r="A86" s="2" t="s">
        <v>556</v>
      </c>
      <c r="B86" t="str">
        <f t="shared" si="2"/>
        <v>04</v>
      </c>
      <c r="C86" t="str">
        <f t="shared" si="3"/>
        <v>08</v>
      </c>
      <c r="D86" t="str">
        <f>VLOOKUP(B86,Vocabulary!B:D,2,TRUE)</f>
        <v>TOUC/FEEL*</v>
      </c>
      <c r="E86" t="str">
        <f>VLOOKUP(C86,Vocabulary!B:D,3,TRUE)</f>
        <v>DOOR*</v>
      </c>
    </row>
    <row r="87" spans="1:5" x14ac:dyDescent="0.2">
      <c r="A87" s="2" t="s">
        <v>557</v>
      </c>
      <c r="B87" t="str">
        <f t="shared" si="2"/>
        <v>04</v>
      </c>
      <c r="C87" t="str">
        <f t="shared" si="3"/>
        <v>08</v>
      </c>
      <c r="D87" t="str">
        <f>VLOOKUP(B87,Vocabulary!B:D,2,TRUE)</f>
        <v>TOUC/FEEL*</v>
      </c>
      <c r="E87" t="str">
        <f>VLOOKUP(C87,Vocabulary!B:D,3,TRUE)</f>
        <v>DOOR*</v>
      </c>
    </row>
    <row r="88" spans="1:5" x14ac:dyDescent="0.2">
      <c r="A88" s="2" t="s">
        <v>558</v>
      </c>
      <c r="B88" t="str">
        <f t="shared" si="2"/>
        <v>04</v>
      </c>
      <c r="C88" t="str">
        <f t="shared" si="3"/>
        <v>08</v>
      </c>
      <c r="D88" t="str">
        <f>VLOOKUP(B88,Vocabulary!B:D,2,TRUE)</f>
        <v>TOUC/FEEL*</v>
      </c>
      <c r="E88" t="str">
        <f>VLOOKUP(C88,Vocabulary!B:D,3,TRUE)</f>
        <v>DOOR*</v>
      </c>
    </row>
    <row r="89" spans="1:5" x14ac:dyDescent="0.2">
      <c r="A89" s="2" t="s">
        <v>559</v>
      </c>
      <c r="B89" t="str">
        <f t="shared" si="2"/>
        <v>04</v>
      </c>
      <c r="C89" t="str">
        <f t="shared" si="3"/>
        <v>08</v>
      </c>
      <c r="D89" t="str">
        <f>VLOOKUP(B89,Vocabulary!B:D,2,TRUE)</f>
        <v>TOUC/FEEL*</v>
      </c>
      <c r="E89" t="str">
        <f>VLOOKUP(C89,Vocabulary!B:D,3,TRUE)</f>
        <v>DOOR*</v>
      </c>
    </row>
    <row r="90" spans="1:5" x14ac:dyDescent="0.2">
      <c r="A90" s="2" t="s">
        <v>560</v>
      </c>
      <c r="B90" t="str">
        <f t="shared" si="2"/>
        <v>04</v>
      </c>
      <c r="C90" t="str">
        <f t="shared" si="3"/>
        <v>08</v>
      </c>
      <c r="D90" t="str">
        <f>VLOOKUP(B90,Vocabulary!B:D,2,TRUE)</f>
        <v>TOUC/FEEL*</v>
      </c>
      <c r="E90" t="str">
        <f>VLOOKUP(C90,Vocabulary!B:D,3,TRUE)</f>
        <v>DOOR*</v>
      </c>
    </row>
    <row r="91" spans="1:5" x14ac:dyDescent="0.2">
      <c r="A91" s="2" t="s">
        <v>561</v>
      </c>
      <c r="B91" t="str">
        <f t="shared" si="2"/>
        <v>04</v>
      </c>
      <c r="C91" t="str">
        <f t="shared" si="3"/>
        <v>08</v>
      </c>
      <c r="D91" t="str">
        <f>VLOOKUP(B91,Vocabulary!B:D,2,TRUE)</f>
        <v>TOUC/FEEL*</v>
      </c>
      <c r="E91" t="str">
        <f>VLOOKUP(C91,Vocabulary!B:D,3,TRUE)</f>
        <v>DOOR*</v>
      </c>
    </row>
    <row r="92" spans="1:5" x14ac:dyDescent="0.2">
      <c r="A92" s="2" t="s">
        <v>562</v>
      </c>
      <c r="B92" t="str">
        <f t="shared" si="2"/>
        <v>04</v>
      </c>
      <c r="C92" t="str">
        <f t="shared" si="3"/>
        <v>08</v>
      </c>
      <c r="D92" t="str">
        <f>VLOOKUP(B92,Vocabulary!B:D,2,TRUE)</f>
        <v>TOUC/FEEL*</v>
      </c>
      <c r="E92" t="str">
        <f>VLOOKUP(C92,Vocabulary!B:D,3,TRUE)</f>
        <v>DOOR*</v>
      </c>
    </row>
    <row r="93" spans="1:5" x14ac:dyDescent="0.2">
      <c r="A93" s="2" t="s">
        <v>563</v>
      </c>
      <c r="B93" t="str">
        <f t="shared" si="2"/>
        <v>04</v>
      </c>
      <c r="C93" t="str">
        <f t="shared" si="3"/>
        <v>08</v>
      </c>
      <c r="D93" t="str">
        <f>VLOOKUP(B93,Vocabulary!B:D,2,TRUE)</f>
        <v>TOUC/FEEL*</v>
      </c>
      <c r="E93" t="str">
        <f>VLOOKUP(C93,Vocabulary!B:D,3,TRUE)</f>
        <v>DOOR*</v>
      </c>
    </row>
    <row r="94" spans="1:5" x14ac:dyDescent="0.2">
      <c r="A94" s="2" t="s">
        <v>564</v>
      </c>
      <c r="B94" t="str">
        <f t="shared" si="2"/>
        <v>0A</v>
      </c>
      <c r="C94" t="str">
        <f t="shared" si="3"/>
        <v>13</v>
      </c>
      <c r="D94" t="str">
        <f>VLOOKUP(B94,Vocabulary!B:D,2,TRUE)</f>
        <v>BEND/FLEX/TWIS*</v>
      </c>
      <c r="E94" t="str">
        <f>VLOOKUP(C94,Vocabulary!B:D,3,TRUE)</f>
        <v>ROD/PLAS*</v>
      </c>
    </row>
    <row r="95" spans="1:5" x14ac:dyDescent="0.2">
      <c r="A95" s="2" t="s">
        <v>565</v>
      </c>
      <c r="B95" t="str">
        <f t="shared" si="2"/>
        <v>05</v>
      </c>
      <c r="C95" t="str">
        <f t="shared" si="3"/>
        <v>13</v>
      </c>
      <c r="D95" t="str">
        <f>VLOOKUP(B95,Vocabulary!B:D,2,TRUE)</f>
        <v>KILL/DEST/WREC/RUIN/SMAS/BREA/ATTA*</v>
      </c>
      <c r="E95" t="str">
        <f>VLOOKUP(C95,Vocabulary!B:D,3,TRUE)</f>
        <v>ROD/PLAS*</v>
      </c>
    </row>
    <row r="96" spans="1:5" x14ac:dyDescent="0.2">
      <c r="A96" s="2" t="s">
        <v>566</v>
      </c>
      <c r="B96" t="str">
        <f t="shared" si="2"/>
        <v>0A</v>
      </c>
      <c r="C96" t="str">
        <f t="shared" si="3"/>
        <v>13</v>
      </c>
      <c r="D96" t="str">
        <f>VLOOKUP(B96,Vocabulary!B:D,2,TRUE)</f>
        <v>BEND/FLEX/TWIS*</v>
      </c>
      <c r="E96" t="str">
        <f>VLOOKUP(C96,Vocabulary!B:D,3,TRUE)</f>
        <v>ROD/PLAS*</v>
      </c>
    </row>
    <row r="97" spans="1:5" x14ac:dyDescent="0.2">
      <c r="A97" s="2" t="s">
        <v>567</v>
      </c>
      <c r="B97" t="str">
        <f t="shared" si="2"/>
        <v>05</v>
      </c>
      <c r="C97" t="str">
        <f t="shared" si="3"/>
        <v>13</v>
      </c>
      <c r="D97" t="str">
        <f>VLOOKUP(B97,Vocabulary!B:D,2,TRUE)</f>
        <v>KILL/DEST/WREC/RUIN/SMAS/BREA/ATTA*</v>
      </c>
      <c r="E97" t="str">
        <f>VLOOKUP(C97,Vocabulary!B:D,3,TRUE)</f>
        <v>ROD/PLAS*</v>
      </c>
    </row>
    <row r="98" spans="1:5" x14ac:dyDescent="0.2">
      <c r="A98" s="2" t="s">
        <v>568</v>
      </c>
      <c r="B98" t="str">
        <f t="shared" si="2"/>
        <v>0B</v>
      </c>
      <c r="C98" t="str">
        <f t="shared" si="3"/>
        <v>16</v>
      </c>
      <c r="D98" t="str">
        <f>VLOOKUP(B98,Vocabulary!B:D,2,TRUE)</f>
        <v>PUSH/PRES/SHOV*</v>
      </c>
      <c r="E98" t="str">
        <f>VLOOKUP(C98,Vocabulary!B:D,3,TRUE)</f>
        <v>BUTT*</v>
      </c>
    </row>
    <row r="99" spans="1:5" x14ac:dyDescent="0.2">
      <c r="A99" s="2" t="s">
        <v>569</v>
      </c>
      <c r="B99" t="str">
        <f t="shared" si="2"/>
        <v>0B</v>
      </c>
      <c r="C99" t="str">
        <f t="shared" si="3"/>
        <v>28</v>
      </c>
      <c r="D99" t="str">
        <f>VLOOKUP(B99,Vocabulary!B:D,2,TRUE)</f>
        <v>PUSH/PRES/SHOV*</v>
      </c>
      <c r="E99" t="str">
        <f>VLOOKUP(C99,Vocabulary!B:D,3,TRUE)</f>
        <v>RED*</v>
      </c>
    </row>
    <row r="100" spans="1:5" x14ac:dyDescent="0.2">
      <c r="A100" s="2" t="s">
        <v>570</v>
      </c>
      <c r="B100" t="str">
        <f t="shared" si="2"/>
        <v>1F</v>
      </c>
      <c r="C100" t="str">
        <f t="shared" si="3"/>
        <v>15</v>
      </c>
      <c r="D100" t="str">
        <f>VLOOKUP(B100,Vocabulary!B:D,2,TRUE)</f>
        <v>THRO/TOSS/HEAV*</v>
      </c>
      <c r="E100" t="str">
        <f>VLOOKUP(C100,Vocabulary!B:D,3,TRUE)</f>
        <v>CRYS/CUBE*</v>
      </c>
    </row>
    <row r="101" spans="1:5" x14ac:dyDescent="0.2">
      <c r="A101" s="2" t="s">
        <v>571</v>
      </c>
      <c r="B101" t="str">
        <f t="shared" si="2"/>
        <v>02</v>
      </c>
      <c r="C101" t="str">
        <f t="shared" si="3"/>
        <v>15</v>
      </c>
      <c r="D101" t="str">
        <f>VLOOKUP(B101,Vocabulary!B:D,2,TRUE)</f>
        <v>DROP/PUT*</v>
      </c>
      <c r="E101" t="str">
        <f>VLOOKUP(C101,Vocabulary!B:D,3,TRUE)</f>
        <v>CRYS/CUBE*</v>
      </c>
    </row>
    <row r="102" spans="1:5" x14ac:dyDescent="0.2">
      <c r="A102" s="2" t="s">
        <v>572</v>
      </c>
      <c r="B102" t="str">
        <f t="shared" si="2"/>
        <v>02</v>
      </c>
      <c r="C102" t="str">
        <f t="shared" si="3"/>
        <v>15</v>
      </c>
      <c r="D102" t="str">
        <f>VLOOKUP(B102,Vocabulary!B:D,2,TRUE)</f>
        <v>DROP/PUT*</v>
      </c>
      <c r="E102" t="str">
        <f>VLOOKUP(C102,Vocabulary!B:D,3,TRUE)</f>
        <v>CRYS/CUBE*</v>
      </c>
    </row>
    <row r="103" spans="1:5" x14ac:dyDescent="0.2">
      <c r="A103" s="2" t="s">
        <v>573</v>
      </c>
      <c r="B103" t="str">
        <f t="shared" si="2"/>
        <v>1C</v>
      </c>
      <c r="C103" t="str">
        <f t="shared" si="3"/>
        <v>17</v>
      </c>
      <c r="D103" t="str">
        <f>VLOOKUP(B103,Vocabulary!B:D,2,TRUE)</f>
        <v>AT/ON*</v>
      </c>
      <c r="E103" t="str">
        <f>VLOOKUP(C103,Vocabulary!B:D,3,TRUE)</f>
        <v>GROU/FLOO*</v>
      </c>
    </row>
    <row r="104" spans="1:5" x14ac:dyDescent="0.2">
      <c r="A104" s="2" t="s">
        <v>574</v>
      </c>
      <c r="B104" t="str">
        <f t="shared" si="2"/>
        <v>1C</v>
      </c>
      <c r="C104" t="str">
        <f t="shared" si="3"/>
        <v>0E</v>
      </c>
      <c r="D104" t="str">
        <f>VLOOKUP(B104,Vocabulary!B:D,2,TRUE)</f>
        <v>AT/ON*</v>
      </c>
      <c r="E104" t="str">
        <f>VLOOKUP(C104,Vocabulary!B:D,3,TRUE)</f>
        <v>ROBO*</v>
      </c>
    </row>
    <row r="105" spans="1:5" x14ac:dyDescent="0.2">
      <c r="A105" s="2" t="s">
        <v>575</v>
      </c>
      <c r="B105" t="str">
        <f t="shared" si="2"/>
        <v>1C</v>
      </c>
      <c r="C105" t="str">
        <f t="shared" si="3"/>
        <v>01</v>
      </c>
      <c r="D105" t="str">
        <f>VLOOKUP(B105,Vocabulary!B:D,2,TRUE)</f>
        <v>AT/ON*</v>
      </c>
      <c r="E105" t="str">
        <f>VLOOKUP(C105,Vocabulary!B:D,3,TRUE)</f>
        <v>ANY*</v>
      </c>
    </row>
    <row r="106" spans="1:5" x14ac:dyDescent="0.2">
      <c r="A106" s="2" t="s">
        <v>576</v>
      </c>
      <c r="B106" t="str">
        <f t="shared" si="2"/>
        <v>1C</v>
      </c>
      <c r="C106" t="str">
        <f t="shared" si="3"/>
        <v>17</v>
      </c>
      <c r="D106" t="str">
        <f>VLOOKUP(B106,Vocabulary!B:D,2,TRUE)</f>
        <v>AT/ON*</v>
      </c>
      <c r="E106" t="str">
        <f>VLOOKUP(C106,Vocabulary!B:D,3,TRUE)</f>
        <v>GROU/FLOO*</v>
      </c>
    </row>
    <row r="107" spans="1:5" x14ac:dyDescent="0.2">
      <c r="A107" s="2" t="s">
        <v>577</v>
      </c>
      <c r="B107" t="str">
        <f t="shared" si="2"/>
        <v>1C</v>
      </c>
      <c r="C107" t="str">
        <f t="shared" si="3"/>
        <v>0E</v>
      </c>
      <c r="D107" t="str">
        <f>VLOOKUP(B107,Vocabulary!B:D,2,TRUE)</f>
        <v>AT/ON*</v>
      </c>
      <c r="E107" t="str">
        <f>VLOOKUP(C107,Vocabulary!B:D,3,TRUE)</f>
        <v>ROBO*</v>
      </c>
    </row>
    <row r="108" spans="1:5" x14ac:dyDescent="0.2">
      <c r="A108" s="2" t="s">
        <v>578</v>
      </c>
      <c r="B108" t="str">
        <f t="shared" si="2"/>
        <v>1C</v>
      </c>
      <c r="C108" t="str">
        <f t="shared" si="3"/>
        <v>01</v>
      </c>
      <c r="D108" t="str">
        <f>VLOOKUP(B108,Vocabulary!B:D,2,TRUE)</f>
        <v>AT/ON*</v>
      </c>
      <c r="E108" t="str">
        <f>VLOOKUP(C108,Vocabulary!B:D,3,TRUE)</f>
        <v>ANY*</v>
      </c>
    </row>
    <row r="109" spans="1:5" x14ac:dyDescent="0.2">
      <c r="A109" s="2" t="s">
        <v>579</v>
      </c>
      <c r="B109" t="str">
        <f t="shared" si="2"/>
        <v>01</v>
      </c>
      <c r="C109" t="str">
        <f t="shared" si="3"/>
        <v>09</v>
      </c>
      <c r="D109" t="str">
        <f>VLOOKUP(B109,Vocabulary!B:D,2,TRUE)</f>
        <v>GET/TAKE/GRAB/HOLD/CARR/FETC*</v>
      </c>
      <c r="E109" t="str">
        <f>VLOOKUP(C109,Vocabulary!B:D,3,TRUE)</f>
        <v>INVE*</v>
      </c>
    </row>
    <row r="110" spans="1:5" x14ac:dyDescent="0.2">
      <c r="A110" s="2" t="s">
        <v>580</v>
      </c>
      <c r="B110" t="str">
        <f t="shared" si="2"/>
        <v>1B</v>
      </c>
      <c r="C110" t="str">
        <f t="shared" si="3"/>
        <v>01</v>
      </c>
      <c r="D110" t="str">
        <f>VLOOKUP(B110,Vocabulary!B:D,2,TRUE)</f>
        <v>INVE*</v>
      </c>
      <c r="E110" t="str">
        <f>VLOOKUP(C110,Vocabulary!B:D,3,TRUE)</f>
        <v>ANY*</v>
      </c>
    </row>
    <row r="111" spans="1:5" x14ac:dyDescent="0.2">
      <c r="A111" s="2" t="s">
        <v>581</v>
      </c>
      <c r="B111" t="str">
        <f t="shared" si="2"/>
        <v>06</v>
      </c>
      <c r="C111" t="str">
        <f t="shared" si="3"/>
        <v>0E</v>
      </c>
      <c r="D111" t="str">
        <f>VLOOKUP(B111,Vocabulary!B:D,2,TRUE)</f>
        <v>EXAM/LOOK/INSP/SEAR/VIEW/SEE/READ*</v>
      </c>
      <c r="E111" t="str">
        <f>VLOOKUP(C111,Vocabulary!B:D,3,TRUE)</f>
        <v>ROBO*</v>
      </c>
    </row>
    <row r="112" spans="1:5" x14ac:dyDescent="0.2">
      <c r="A112" s="2" t="s">
        <v>582</v>
      </c>
      <c r="B112" t="str">
        <f t="shared" si="2"/>
        <v>06</v>
      </c>
      <c r="C112" t="str">
        <f t="shared" si="3"/>
        <v>35</v>
      </c>
      <c r="D112" t="str">
        <f>VLOOKUP(B112,Vocabulary!B:D,2,TRUE)</f>
        <v>EXAM/LOOK/INSP/SEAR/VIEW/SEE/READ*</v>
      </c>
      <c r="E112" t="str">
        <f>VLOOKUP(C112,Vocabulary!B:D,3,TRUE)</f>
        <v>PART*</v>
      </c>
    </row>
    <row r="113" spans="1:5" x14ac:dyDescent="0.2">
      <c r="A113" s="2" t="s">
        <v>583</v>
      </c>
      <c r="B113" t="str">
        <f t="shared" si="2"/>
        <v>20</v>
      </c>
      <c r="C113" t="str">
        <f t="shared" si="3"/>
        <v>18</v>
      </c>
      <c r="D113" t="str">
        <f>VLOOKUP(B113,Vocabulary!B:D,2,TRUE)</f>
        <v>DRIN/SWAL*</v>
      </c>
      <c r="E113" t="str">
        <f>VLOOKUP(C113,Vocabulary!B:D,3,TRUE)</f>
        <v>OIL*</v>
      </c>
    </row>
    <row r="114" spans="1:5" x14ac:dyDescent="0.2">
      <c r="A114" s="2" t="s">
        <v>584</v>
      </c>
      <c r="B114" t="str">
        <f t="shared" si="2"/>
        <v>20</v>
      </c>
      <c r="C114" t="str">
        <f t="shared" si="3"/>
        <v>18</v>
      </c>
      <c r="D114" t="str">
        <f>VLOOKUP(B114,Vocabulary!B:D,2,TRUE)</f>
        <v>DRIN/SWAL*</v>
      </c>
      <c r="E114" t="str">
        <f>VLOOKUP(C114,Vocabulary!B:D,3,TRUE)</f>
        <v>OIL*</v>
      </c>
    </row>
    <row r="115" spans="1:5" x14ac:dyDescent="0.2">
      <c r="A115" s="2" t="s">
        <v>585</v>
      </c>
      <c r="B115" t="str">
        <f t="shared" si="2"/>
        <v>20</v>
      </c>
      <c r="C115" t="str">
        <f t="shared" si="3"/>
        <v>18</v>
      </c>
      <c r="D115" t="str">
        <f>VLOOKUP(B115,Vocabulary!B:D,2,TRUE)</f>
        <v>DRIN/SWAL*</v>
      </c>
      <c r="E115" t="str">
        <f>VLOOKUP(C115,Vocabulary!B:D,3,TRUE)</f>
        <v>OIL*</v>
      </c>
    </row>
    <row r="116" spans="1:5" x14ac:dyDescent="0.2">
      <c r="A116" s="2" t="s">
        <v>586</v>
      </c>
      <c r="B116" t="str">
        <f t="shared" si="2"/>
        <v>01</v>
      </c>
      <c r="C116" t="str">
        <f t="shared" si="3"/>
        <v>18</v>
      </c>
      <c r="D116" t="str">
        <f>VLOOKUP(B116,Vocabulary!B:D,2,TRUE)</f>
        <v>GET/TAKE/GRAB/HOLD/CARR/FETC*</v>
      </c>
      <c r="E116" t="str">
        <f>VLOOKUP(C116,Vocabulary!B:D,3,TRUE)</f>
        <v>OIL*</v>
      </c>
    </row>
    <row r="117" spans="1:5" x14ac:dyDescent="0.2">
      <c r="A117" s="2" t="s">
        <v>587</v>
      </c>
      <c r="B117" t="str">
        <f t="shared" si="2"/>
        <v>08</v>
      </c>
      <c r="C117" t="str">
        <f t="shared" si="3"/>
        <v>11</v>
      </c>
      <c r="D117" t="str">
        <f>VLOOKUP(B117,Vocabulary!B:D,2,TRUE)</f>
        <v>FILL*</v>
      </c>
      <c r="E117" t="str">
        <f>VLOOKUP(C117,Vocabulary!B:D,3,TRUE)</f>
        <v>BEAK*</v>
      </c>
    </row>
    <row r="118" spans="1:5" x14ac:dyDescent="0.2">
      <c r="A118" s="2" t="s">
        <v>587</v>
      </c>
      <c r="B118" t="str">
        <f t="shared" si="2"/>
        <v>08</v>
      </c>
      <c r="C118" t="str">
        <f t="shared" si="3"/>
        <v>11</v>
      </c>
      <c r="D118" t="str">
        <f>VLOOKUP(B118,Vocabulary!B:D,2,TRUE)</f>
        <v>FILL*</v>
      </c>
      <c r="E118" t="str">
        <f>VLOOKUP(C118,Vocabulary!B:D,3,TRUE)</f>
        <v>BEAK*</v>
      </c>
    </row>
    <row r="119" spans="1:5" x14ac:dyDescent="0.2">
      <c r="A119" s="2" t="s">
        <v>588</v>
      </c>
      <c r="B119" t="str">
        <f t="shared" si="2"/>
        <v>21</v>
      </c>
      <c r="C119" t="str">
        <f t="shared" si="3"/>
        <v>10</v>
      </c>
      <c r="D119" t="str">
        <f>VLOOKUP(B119,Vocabulary!B:D,2,TRUE)</f>
        <v>EAT/TAST/SMEL*</v>
      </c>
      <c r="E119" t="str">
        <f>VLOOKUP(C119,Vocabulary!B:D,3,TRUE)</f>
        <v>CHEM*</v>
      </c>
    </row>
    <row r="120" spans="1:5" x14ac:dyDescent="0.2">
      <c r="A120" s="2" t="s">
        <v>589</v>
      </c>
      <c r="B120" t="str">
        <f t="shared" si="2"/>
        <v>06</v>
      </c>
      <c r="C120" t="str">
        <f t="shared" si="3"/>
        <v>30</v>
      </c>
      <c r="D120" t="str">
        <f>VLOOKUP(B120,Vocabulary!B:D,2,TRUE)</f>
        <v>EXAM/LOOK/INSP/SEAR/VIEW/SEE/READ*</v>
      </c>
      <c r="E120" t="str">
        <f>VLOOKUP(C120,Vocabulary!B:D,3,TRUE)</f>
        <v>PANE/CONT*</v>
      </c>
    </row>
    <row r="121" spans="1:5" x14ac:dyDescent="0.2">
      <c r="A121" s="2" t="s">
        <v>590</v>
      </c>
      <c r="B121" t="str">
        <f t="shared" si="2"/>
        <v>01</v>
      </c>
      <c r="C121" t="str">
        <f t="shared" si="3"/>
        <v>35</v>
      </c>
      <c r="D121" t="str">
        <f>VLOOKUP(B121,Vocabulary!B:D,2,TRUE)</f>
        <v>GET/TAKE/GRAB/HOLD/CARR/FETC*</v>
      </c>
      <c r="E121" t="str">
        <f>VLOOKUP(C121,Vocabulary!B:D,3,TRUE)</f>
        <v>PART*</v>
      </c>
    </row>
    <row r="122" spans="1:5" x14ac:dyDescent="0.2">
      <c r="A122" s="2" t="s">
        <v>591</v>
      </c>
      <c r="B122" t="str">
        <f t="shared" si="2"/>
        <v>0B</v>
      </c>
      <c r="C122" t="str">
        <f t="shared" si="3"/>
        <v>27</v>
      </c>
      <c r="D122" t="str">
        <f>VLOOKUP(B122,Vocabulary!B:D,2,TRUE)</f>
        <v>PUSH/PRES/SHOV*</v>
      </c>
      <c r="E122" t="str">
        <f>VLOOKUP(C122,Vocabulary!B:D,3,TRUE)</f>
        <v>GREE*</v>
      </c>
    </row>
    <row r="123" spans="1:5" x14ac:dyDescent="0.2">
      <c r="A123" s="2" t="s">
        <v>592</v>
      </c>
      <c r="B123" t="str">
        <f t="shared" si="2"/>
        <v>0B</v>
      </c>
      <c r="C123" t="str">
        <f t="shared" si="3"/>
        <v>1A</v>
      </c>
      <c r="D123" t="str">
        <f>VLOOKUP(B123,Vocabulary!B:D,2,TRUE)</f>
        <v>PUSH/PRES/SHOV*</v>
      </c>
      <c r="E123" t="str">
        <f>VLOOKUP(C123,Vocabulary!B:D,3,TRUE)</f>
        <v>LEVE*</v>
      </c>
    </row>
    <row r="124" spans="1:5" x14ac:dyDescent="0.2">
      <c r="A124" s="2" t="s">
        <v>593</v>
      </c>
      <c r="B124" t="str">
        <f t="shared" si="2"/>
        <v>0C</v>
      </c>
      <c r="C124" t="str">
        <f t="shared" si="3"/>
        <v>1A</v>
      </c>
      <c r="D124" t="str">
        <f>VLOOKUP(B124,Vocabulary!B:D,2,TRUE)</f>
        <v>PULL*</v>
      </c>
      <c r="E124" t="str">
        <f>VLOOKUP(C124,Vocabulary!B:D,3,TRUE)</f>
        <v>LEVE*</v>
      </c>
    </row>
    <row r="125" spans="1:5" x14ac:dyDescent="0.2">
      <c r="A125" s="2" t="s">
        <v>594</v>
      </c>
      <c r="B125" t="str">
        <f t="shared" si="2"/>
        <v>10</v>
      </c>
      <c r="C125" t="str">
        <f t="shared" si="3"/>
        <v>14</v>
      </c>
      <c r="D125" t="str">
        <f>VLOOKUP(B125,Vocabulary!B:D,2,TRUE)</f>
        <v>INSE*</v>
      </c>
      <c r="E125" t="str">
        <f>VLOOKUP(C125,Vocabulary!B:D,3,TRUE)</f>
        <v>TOKE/COIN*</v>
      </c>
    </row>
    <row r="126" spans="1:5" x14ac:dyDescent="0.2">
      <c r="A126" s="2" t="s">
        <v>595</v>
      </c>
      <c r="B126" t="str">
        <f t="shared" si="2"/>
        <v>0B</v>
      </c>
      <c r="C126" t="str">
        <f t="shared" si="3"/>
        <v>27</v>
      </c>
      <c r="D126" t="str">
        <f>VLOOKUP(B126,Vocabulary!B:D,2,TRUE)</f>
        <v>PUSH/PRES/SHOV*</v>
      </c>
      <c r="E126" t="str">
        <f>VLOOKUP(C126,Vocabulary!B:D,3,TRUE)</f>
        <v>GREE*</v>
      </c>
    </row>
    <row r="127" spans="1:5" x14ac:dyDescent="0.2">
      <c r="A127" s="2" t="s">
        <v>596</v>
      </c>
      <c r="B127" t="str">
        <f t="shared" si="2"/>
        <v>06</v>
      </c>
      <c r="C127" t="str">
        <f t="shared" si="3"/>
        <v>1A</v>
      </c>
      <c r="D127" t="str">
        <f>VLOOKUP(B127,Vocabulary!B:D,2,TRUE)</f>
        <v>EXAM/LOOK/INSP/SEAR/VIEW/SEE/READ*</v>
      </c>
      <c r="E127" t="str">
        <f>VLOOKUP(C127,Vocabulary!B:D,3,TRUE)</f>
        <v>LEVE*</v>
      </c>
    </row>
    <row r="128" spans="1:5" x14ac:dyDescent="0.2">
      <c r="A128" s="2" t="s">
        <v>597</v>
      </c>
      <c r="B128" t="str">
        <f t="shared" si="2"/>
        <v>16</v>
      </c>
      <c r="C128" t="str">
        <f t="shared" si="3"/>
        <v>1A</v>
      </c>
      <c r="D128" t="str">
        <f>VLOOKUP(B128,Vocabulary!B:D,2,TRUE)</f>
        <v>OIL/LUBR*</v>
      </c>
      <c r="E128" t="str">
        <f>VLOOKUP(C128,Vocabulary!B:D,3,TRUE)</f>
        <v>LEVE*</v>
      </c>
    </row>
    <row r="129" spans="1:5" x14ac:dyDescent="0.2">
      <c r="A129" s="2" t="s">
        <v>923</v>
      </c>
      <c r="B129" t="str">
        <f t="shared" si="2"/>
        <v>01</v>
      </c>
      <c r="C129" t="str">
        <f t="shared" si="3"/>
        <v>11</v>
      </c>
      <c r="D129" t="str">
        <f>VLOOKUP(B129,Vocabulary!B:D,2,TRUE)</f>
        <v>GET/TAKE/GRAB/HOLD/CARR/FETC*</v>
      </c>
      <c r="E129" t="str">
        <f>VLOOKUP(C129,Vocabulary!B:D,3,TRUE)</f>
        <v>BEAK*</v>
      </c>
    </row>
    <row r="130" spans="1:5" x14ac:dyDescent="0.2">
      <c r="A130" s="2" t="s">
        <v>598</v>
      </c>
      <c r="B130" t="str">
        <f t="shared" si="2"/>
        <v>02</v>
      </c>
      <c r="C130" t="str">
        <f t="shared" si="3"/>
        <v>11</v>
      </c>
      <c r="D130" t="str">
        <f>VLOOKUP(B130,Vocabulary!B:D,2,TRUE)</f>
        <v>DROP/PUT*</v>
      </c>
      <c r="E130" t="str">
        <f>VLOOKUP(C130,Vocabulary!B:D,3,TRUE)</f>
        <v>BEAK*</v>
      </c>
    </row>
    <row r="131" spans="1:5" x14ac:dyDescent="0.2">
      <c r="A131" s="2" t="s">
        <v>924</v>
      </c>
      <c r="B131" t="str">
        <f t="shared" ref="B131:B194" si="4">LEFT(A131,2)</f>
        <v>01</v>
      </c>
      <c r="C131" t="str">
        <f t="shared" ref="C131:C194" si="5">MID(A131,3,2)</f>
        <v>11</v>
      </c>
      <c r="D131" t="str">
        <f>VLOOKUP(B131,Vocabulary!B:D,2,TRUE)</f>
        <v>GET/TAKE/GRAB/HOLD/CARR/FETC*</v>
      </c>
      <c r="E131" t="str">
        <f>VLOOKUP(C131,Vocabulary!B:D,3,TRUE)</f>
        <v>BEAK*</v>
      </c>
    </row>
    <row r="132" spans="1:5" x14ac:dyDescent="0.2">
      <c r="A132" s="2" t="s">
        <v>599</v>
      </c>
      <c r="B132" t="str">
        <f t="shared" si="4"/>
        <v>02</v>
      </c>
      <c r="C132" t="str">
        <f t="shared" si="5"/>
        <v>11</v>
      </c>
      <c r="D132" t="str">
        <f>VLOOKUP(B132,Vocabulary!B:D,2,TRUE)</f>
        <v>DROP/PUT*</v>
      </c>
      <c r="E132" t="str">
        <f>VLOOKUP(C132,Vocabulary!B:D,3,TRUE)</f>
        <v>BEAK*</v>
      </c>
    </row>
    <row r="133" spans="1:5" x14ac:dyDescent="0.2">
      <c r="A133" s="2" t="s">
        <v>600</v>
      </c>
      <c r="B133" t="str">
        <f t="shared" si="4"/>
        <v>0B</v>
      </c>
      <c r="C133" t="str">
        <f t="shared" si="5"/>
        <v>1A</v>
      </c>
      <c r="D133" t="str">
        <f>VLOOKUP(B133,Vocabulary!B:D,2,TRUE)</f>
        <v>PUSH/PRES/SHOV*</v>
      </c>
      <c r="E133" t="str">
        <f>VLOOKUP(C133,Vocabulary!B:D,3,TRUE)</f>
        <v>LEVE*</v>
      </c>
    </row>
    <row r="134" spans="1:5" x14ac:dyDescent="0.2">
      <c r="A134" s="2" t="s">
        <v>601</v>
      </c>
      <c r="B134" t="str">
        <f t="shared" si="4"/>
        <v>0C</v>
      </c>
      <c r="C134" t="str">
        <f t="shared" si="5"/>
        <v>1A</v>
      </c>
      <c r="D134" t="str">
        <f>VLOOKUP(B134,Vocabulary!B:D,2,TRUE)</f>
        <v>PULL*</v>
      </c>
      <c r="E134" t="str">
        <f>VLOOKUP(C134,Vocabulary!B:D,3,TRUE)</f>
        <v>LEVE*</v>
      </c>
    </row>
    <row r="135" spans="1:5" x14ac:dyDescent="0.2">
      <c r="A135" s="2" t="s">
        <v>602</v>
      </c>
      <c r="B135" t="str">
        <f t="shared" si="4"/>
        <v>0B</v>
      </c>
      <c r="C135" t="str">
        <f t="shared" si="5"/>
        <v>1A</v>
      </c>
      <c r="D135" t="str">
        <f>VLOOKUP(B135,Vocabulary!B:D,2,TRUE)</f>
        <v>PUSH/PRES/SHOV*</v>
      </c>
      <c r="E135" t="str">
        <f>VLOOKUP(C135,Vocabulary!B:D,3,TRUE)</f>
        <v>LEVE*</v>
      </c>
    </row>
    <row r="136" spans="1:5" x14ac:dyDescent="0.2">
      <c r="A136" s="2" t="s">
        <v>603</v>
      </c>
      <c r="B136" t="str">
        <f t="shared" si="4"/>
        <v>0C</v>
      </c>
      <c r="C136" t="str">
        <f t="shared" si="5"/>
        <v>1A</v>
      </c>
      <c r="D136" t="str">
        <f>VLOOKUP(B136,Vocabulary!B:D,2,TRUE)</f>
        <v>PULL*</v>
      </c>
      <c r="E136" t="str">
        <f>VLOOKUP(C136,Vocabulary!B:D,3,TRUE)</f>
        <v>LEVE*</v>
      </c>
    </row>
    <row r="137" spans="1:5" x14ac:dyDescent="0.2">
      <c r="A137" s="2" t="s">
        <v>604</v>
      </c>
      <c r="B137" t="str">
        <f t="shared" si="4"/>
        <v>03</v>
      </c>
      <c r="C137" t="str">
        <f t="shared" si="5"/>
        <v>08</v>
      </c>
      <c r="D137" t="str">
        <f>VLOOKUP(B137,Vocabulary!B:D,2,TRUE)</f>
        <v>GO/WALK/RIDE/STEP/ENTE/EXIT/RUN/CROS/SWIM/JUMP*</v>
      </c>
      <c r="E137" t="str">
        <f>VLOOKUP(C137,Vocabulary!B:D,3,TRUE)</f>
        <v>DOOR*</v>
      </c>
    </row>
    <row r="138" spans="1:5" x14ac:dyDescent="0.2">
      <c r="A138" s="2" t="s">
        <v>605</v>
      </c>
      <c r="B138" t="str">
        <f t="shared" si="4"/>
        <v>0B</v>
      </c>
      <c r="C138" t="str">
        <f t="shared" si="5"/>
        <v>1A</v>
      </c>
      <c r="D138" t="str">
        <f>VLOOKUP(B138,Vocabulary!B:D,2,TRUE)</f>
        <v>PUSH/PRES/SHOV*</v>
      </c>
      <c r="E138" t="str">
        <f>VLOOKUP(C138,Vocabulary!B:D,3,TRUE)</f>
        <v>LEVE*</v>
      </c>
    </row>
    <row r="139" spans="1:5" x14ac:dyDescent="0.2">
      <c r="A139" s="2" t="s">
        <v>606</v>
      </c>
      <c r="B139" t="str">
        <f t="shared" si="4"/>
        <v>0B</v>
      </c>
      <c r="C139" t="str">
        <f t="shared" si="5"/>
        <v>1A</v>
      </c>
      <c r="D139" t="str">
        <f>VLOOKUP(B139,Vocabulary!B:D,2,TRUE)</f>
        <v>PUSH/PRES/SHOV*</v>
      </c>
      <c r="E139" t="str">
        <f>VLOOKUP(C139,Vocabulary!B:D,3,TRUE)</f>
        <v>LEVE*</v>
      </c>
    </row>
    <row r="140" spans="1:5" x14ac:dyDescent="0.2">
      <c r="A140" s="2" t="s">
        <v>607</v>
      </c>
      <c r="B140" t="str">
        <f t="shared" si="4"/>
        <v>0B</v>
      </c>
      <c r="C140" t="str">
        <f t="shared" si="5"/>
        <v>1A</v>
      </c>
      <c r="D140" t="str">
        <f>VLOOKUP(B140,Vocabulary!B:D,2,TRUE)</f>
        <v>PUSH/PRES/SHOV*</v>
      </c>
      <c r="E140" t="str">
        <f>VLOOKUP(C140,Vocabulary!B:D,3,TRUE)</f>
        <v>LEVE*</v>
      </c>
    </row>
    <row r="141" spans="1:5" x14ac:dyDescent="0.2">
      <c r="A141" s="2" t="s">
        <v>608</v>
      </c>
      <c r="B141" t="str">
        <f t="shared" si="4"/>
        <v>0C</v>
      </c>
      <c r="C141" t="str">
        <f t="shared" si="5"/>
        <v>1A</v>
      </c>
      <c r="D141" t="str">
        <f>VLOOKUP(B141,Vocabulary!B:D,2,TRUE)</f>
        <v>PULL*</v>
      </c>
      <c r="E141" t="str">
        <f>VLOOKUP(C141,Vocabulary!B:D,3,TRUE)</f>
        <v>LEVE*</v>
      </c>
    </row>
    <row r="142" spans="1:5" x14ac:dyDescent="0.2">
      <c r="A142" s="2" t="s">
        <v>609</v>
      </c>
      <c r="B142" t="str">
        <f t="shared" si="4"/>
        <v>0C</v>
      </c>
      <c r="C142" t="str">
        <f t="shared" si="5"/>
        <v>1A</v>
      </c>
      <c r="D142" t="str">
        <f>VLOOKUP(B142,Vocabulary!B:D,2,TRUE)</f>
        <v>PULL*</v>
      </c>
      <c r="E142" t="str">
        <f>VLOOKUP(C142,Vocabulary!B:D,3,TRUE)</f>
        <v>LEVE*</v>
      </c>
    </row>
    <row r="143" spans="1:5" x14ac:dyDescent="0.2">
      <c r="A143" s="2" t="s">
        <v>610</v>
      </c>
      <c r="B143" t="str">
        <f t="shared" si="4"/>
        <v>0C</v>
      </c>
      <c r="C143" t="str">
        <f t="shared" si="5"/>
        <v>1A</v>
      </c>
      <c r="D143" t="str">
        <f>VLOOKUP(B143,Vocabulary!B:D,2,TRUE)</f>
        <v>PULL*</v>
      </c>
      <c r="E143" t="str">
        <f>VLOOKUP(C143,Vocabulary!B:D,3,TRUE)</f>
        <v>LEVE*</v>
      </c>
    </row>
    <row r="144" spans="1:5" x14ac:dyDescent="0.2">
      <c r="A144" s="2" t="s">
        <v>604</v>
      </c>
      <c r="B144" t="str">
        <f t="shared" si="4"/>
        <v>03</v>
      </c>
      <c r="C144" t="str">
        <f t="shared" si="5"/>
        <v>08</v>
      </c>
      <c r="D144" t="str">
        <f>VLOOKUP(B144,Vocabulary!B:D,2,TRUE)</f>
        <v>GO/WALK/RIDE/STEP/ENTE/EXIT/RUN/CROS/SWIM/JUMP*</v>
      </c>
      <c r="E144" t="str">
        <f>VLOOKUP(C144,Vocabulary!B:D,3,TRUE)</f>
        <v>DOOR*</v>
      </c>
    </row>
    <row r="145" spans="1:5" x14ac:dyDescent="0.2">
      <c r="A145" s="2" t="s">
        <v>604</v>
      </c>
      <c r="B145" t="str">
        <f t="shared" si="4"/>
        <v>03</v>
      </c>
      <c r="C145" t="str">
        <f t="shared" si="5"/>
        <v>08</v>
      </c>
      <c r="D145" t="str">
        <f>VLOOKUP(B145,Vocabulary!B:D,2,TRUE)</f>
        <v>GO/WALK/RIDE/STEP/ENTE/EXIT/RUN/CROS/SWIM/JUMP*</v>
      </c>
      <c r="E145" t="str">
        <f>VLOOKUP(C145,Vocabulary!B:D,3,TRUE)</f>
        <v>DOOR*</v>
      </c>
    </row>
    <row r="146" spans="1:5" x14ac:dyDescent="0.2">
      <c r="A146" s="2" t="s">
        <v>604</v>
      </c>
      <c r="B146" t="str">
        <f t="shared" si="4"/>
        <v>03</v>
      </c>
      <c r="C146" t="str">
        <f t="shared" si="5"/>
        <v>08</v>
      </c>
      <c r="D146" t="str">
        <f>VLOOKUP(B146,Vocabulary!B:D,2,TRUE)</f>
        <v>GO/WALK/RIDE/STEP/ENTE/EXIT/RUN/CROS/SWIM/JUMP*</v>
      </c>
      <c r="E146" t="str">
        <f>VLOOKUP(C146,Vocabulary!B:D,3,TRUE)</f>
        <v>DOOR*</v>
      </c>
    </row>
    <row r="147" spans="1:5" x14ac:dyDescent="0.2">
      <c r="A147" s="2" t="s">
        <v>604</v>
      </c>
      <c r="B147" t="str">
        <f t="shared" si="4"/>
        <v>03</v>
      </c>
      <c r="C147" t="str">
        <f t="shared" si="5"/>
        <v>08</v>
      </c>
      <c r="D147" t="str">
        <f>VLOOKUP(B147,Vocabulary!B:D,2,TRUE)</f>
        <v>GO/WALK/RIDE/STEP/ENTE/EXIT/RUN/CROS/SWIM/JUMP*</v>
      </c>
      <c r="E147" t="str">
        <f>VLOOKUP(C147,Vocabulary!B:D,3,TRUE)</f>
        <v>DOOR*</v>
      </c>
    </row>
    <row r="148" spans="1:5" x14ac:dyDescent="0.2">
      <c r="A148" s="2" t="s">
        <v>604</v>
      </c>
      <c r="B148" t="str">
        <f t="shared" si="4"/>
        <v>03</v>
      </c>
      <c r="C148" t="str">
        <f t="shared" si="5"/>
        <v>08</v>
      </c>
      <c r="D148" t="str">
        <f>VLOOKUP(B148,Vocabulary!B:D,2,TRUE)</f>
        <v>GO/WALK/RIDE/STEP/ENTE/EXIT/RUN/CROS/SWIM/JUMP*</v>
      </c>
      <c r="E148" t="str">
        <f>VLOOKUP(C148,Vocabulary!B:D,3,TRUE)</f>
        <v>DOOR*</v>
      </c>
    </row>
    <row r="149" spans="1:5" x14ac:dyDescent="0.2">
      <c r="A149" s="2" t="s">
        <v>604</v>
      </c>
      <c r="B149" t="str">
        <f t="shared" si="4"/>
        <v>03</v>
      </c>
      <c r="C149" t="str">
        <f t="shared" si="5"/>
        <v>08</v>
      </c>
      <c r="D149" t="str">
        <f>VLOOKUP(B149,Vocabulary!B:D,2,TRUE)</f>
        <v>GO/WALK/RIDE/STEP/ENTE/EXIT/RUN/CROS/SWIM/JUMP*</v>
      </c>
      <c r="E149" t="str">
        <f>VLOOKUP(C149,Vocabulary!B:D,3,TRUE)</f>
        <v>DOOR*</v>
      </c>
    </row>
    <row r="150" spans="1:5" x14ac:dyDescent="0.2">
      <c r="A150" s="2" t="s">
        <v>611</v>
      </c>
      <c r="B150" t="str">
        <f t="shared" si="4"/>
        <v>03</v>
      </c>
      <c r="C150" t="str">
        <f t="shared" si="5"/>
        <v>19</v>
      </c>
      <c r="D150" t="str">
        <f>VLOOKUP(B150,Vocabulary!B:D,2,TRUE)</f>
        <v>GO/WALK/RIDE/STEP/ENTE/EXIT/RUN/CROS/SWIM/JUMP*</v>
      </c>
      <c r="E150" t="str">
        <f>VLOOKUP(C150,Vocabulary!B:D,3,TRUE)</f>
        <v>MONO*</v>
      </c>
    </row>
    <row r="151" spans="1:5" x14ac:dyDescent="0.2">
      <c r="A151" s="2" t="s">
        <v>612</v>
      </c>
      <c r="B151" t="str">
        <f t="shared" si="4"/>
        <v>10</v>
      </c>
      <c r="C151" t="str">
        <f t="shared" si="5"/>
        <v>14</v>
      </c>
      <c r="D151" t="str">
        <f>VLOOKUP(B151,Vocabulary!B:D,2,TRUE)</f>
        <v>INSE*</v>
      </c>
      <c r="E151" t="str">
        <f>VLOOKUP(C151,Vocabulary!B:D,3,TRUE)</f>
        <v>TOKE/COIN*</v>
      </c>
    </row>
    <row r="152" spans="1:5" x14ac:dyDescent="0.2">
      <c r="A152" s="2" t="s">
        <v>613</v>
      </c>
      <c r="B152" t="str">
        <f t="shared" si="4"/>
        <v>17</v>
      </c>
      <c r="C152" t="str">
        <f t="shared" si="5"/>
        <v>11</v>
      </c>
      <c r="D152" t="str">
        <f>VLOOKUP(B152,Vocabulary!B:D,2,TRUE)</f>
        <v>EMPT*</v>
      </c>
      <c r="E152" t="str">
        <f>VLOOKUP(C152,Vocabulary!B:D,3,TRUE)</f>
        <v>BEAK*</v>
      </c>
    </row>
    <row r="153" spans="1:5" x14ac:dyDescent="0.2">
      <c r="A153" s="2" t="s">
        <v>614</v>
      </c>
      <c r="B153" t="str">
        <f t="shared" si="4"/>
        <v>18</v>
      </c>
      <c r="C153" t="str">
        <f t="shared" si="5"/>
        <v>18</v>
      </c>
      <c r="D153" t="str">
        <f>VLOOKUP(B153,Vocabulary!B:D,2,TRUE)</f>
        <v>POUR/SPIL*</v>
      </c>
      <c r="E153" t="str">
        <f>VLOOKUP(C153,Vocabulary!B:D,3,TRUE)</f>
        <v>OIL*</v>
      </c>
    </row>
    <row r="154" spans="1:5" x14ac:dyDescent="0.2">
      <c r="A154" s="2" t="s">
        <v>615</v>
      </c>
      <c r="B154" t="str">
        <f t="shared" si="4"/>
        <v>06</v>
      </c>
      <c r="C154" t="str">
        <f t="shared" si="5"/>
        <v>30</v>
      </c>
      <c r="D154" t="str">
        <f>VLOOKUP(B154,Vocabulary!B:D,2,TRUE)</f>
        <v>EXAM/LOOK/INSP/SEAR/VIEW/SEE/READ*</v>
      </c>
      <c r="E154" t="str">
        <f>VLOOKUP(C154,Vocabulary!B:D,3,TRUE)</f>
        <v>PANE/CONT*</v>
      </c>
    </row>
    <row r="155" spans="1:5" x14ac:dyDescent="0.2">
      <c r="A155" s="2" t="s">
        <v>616</v>
      </c>
      <c r="B155" t="str">
        <f t="shared" si="4"/>
        <v>03</v>
      </c>
      <c r="C155" t="str">
        <f t="shared" si="5"/>
        <v>08</v>
      </c>
      <c r="D155" t="str">
        <f>VLOOKUP(B155,Vocabulary!B:D,2,TRUE)</f>
        <v>GO/WALK/RIDE/STEP/ENTE/EXIT/RUN/CROS/SWIM/JUMP*</v>
      </c>
      <c r="E155" t="str">
        <f>VLOOKUP(C155,Vocabulary!B:D,3,TRUE)</f>
        <v>DOOR*</v>
      </c>
    </row>
    <row r="156" spans="1:5" x14ac:dyDescent="0.2">
      <c r="A156" s="2" t="s">
        <v>617</v>
      </c>
      <c r="B156" t="str">
        <f t="shared" si="4"/>
        <v>13</v>
      </c>
      <c r="C156" t="str">
        <f t="shared" si="5"/>
        <v>08</v>
      </c>
      <c r="D156" t="str">
        <f>VLOOKUP(B156,Vocabulary!B:D,2,TRUE)</f>
        <v>OPEN/UNLO/UNCO*</v>
      </c>
      <c r="E156" t="str">
        <f>VLOOKUP(C156,Vocabulary!B:D,3,TRUE)</f>
        <v>DOOR*</v>
      </c>
    </row>
    <row r="157" spans="1:5" x14ac:dyDescent="0.2">
      <c r="A157" s="2" t="s">
        <v>618</v>
      </c>
      <c r="B157" t="str">
        <f t="shared" si="4"/>
        <v>22</v>
      </c>
      <c r="C157" t="str">
        <f t="shared" si="5"/>
        <v>14</v>
      </c>
      <c r="D157" t="str">
        <f>VLOOKUP(B157,Vocabulary!B:D,2,TRUE)</f>
        <v>COUN*</v>
      </c>
      <c r="E157" t="str">
        <f>VLOOKUP(C157,Vocabulary!B:D,3,TRUE)</f>
        <v>TOKE/COIN*</v>
      </c>
    </row>
    <row r="158" spans="1:5" x14ac:dyDescent="0.2">
      <c r="A158" s="2" t="s">
        <v>619</v>
      </c>
      <c r="B158" t="str">
        <f t="shared" si="4"/>
        <v>22</v>
      </c>
      <c r="C158" t="str">
        <f t="shared" si="5"/>
        <v>14</v>
      </c>
      <c r="D158" t="str">
        <f>VLOOKUP(B158,Vocabulary!B:D,2,TRUE)</f>
        <v>COUN*</v>
      </c>
      <c r="E158" t="str">
        <f>VLOOKUP(C158,Vocabulary!B:D,3,TRUE)</f>
        <v>TOKE/COIN*</v>
      </c>
    </row>
    <row r="159" spans="1:5" x14ac:dyDescent="0.2">
      <c r="A159" s="2" t="s">
        <v>620</v>
      </c>
      <c r="B159" t="str">
        <f t="shared" si="4"/>
        <v>10</v>
      </c>
      <c r="C159" t="str">
        <f t="shared" si="5"/>
        <v>20</v>
      </c>
      <c r="D159" t="str">
        <f>VLOOKUP(B159,Vocabulary!B:D,2,TRUE)</f>
        <v>INSE*</v>
      </c>
      <c r="E159" t="str">
        <f>VLOOKUP(C159,Vocabulary!B:D,3,TRUE)</f>
        <v>KEY*</v>
      </c>
    </row>
    <row r="160" spans="1:5" x14ac:dyDescent="0.2">
      <c r="A160" s="2" t="s">
        <v>621</v>
      </c>
      <c r="B160" t="str">
        <f t="shared" si="4"/>
        <v>10</v>
      </c>
      <c r="C160" t="str">
        <f t="shared" si="5"/>
        <v>28</v>
      </c>
      <c r="D160" t="str">
        <f>VLOOKUP(B160,Vocabulary!B:D,2,TRUE)</f>
        <v>INSE*</v>
      </c>
      <c r="E160" t="str">
        <f>VLOOKUP(C160,Vocabulary!B:D,3,TRUE)</f>
        <v>RED*</v>
      </c>
    </row>
    <row r="161" spans="1:5" x14ac:dyDescent="0.2">
      <c r="A161" s="2" t="s">
        <v>622</v>
      </c>
      <c r="B161" t="str">
        <f t="shared" si="4"/>
        <v>12</v>
      </c>
      <c r="C161" t="str">
        <f t="shared" si="5"/>
        <v>28</v>
      </c>
      <c r="D161" t="str">
        <f>VLOOKUP(B161,Vocabulary!B:D,2,TRUE)</f>
        <v>TURN*</v>
      </c>
      <c r="E161" t="str">
        <f>VLOOKUP(C161,Vocabulary!B:D,3,TRUE)</f>
        <v>RED*</v>
      </c>
    </row>
    <row r="162" spans="1:5" x14ac:dyDescent="0.2">
      <c r="A162" s="2" t="s">
        <v>623</v>
      </c>
      <c r="B162" t="str">
        <f t="shared" si="4"/>
        <v>0B</v>
      </c>
      <c r="C162" t="str">
        <f t="shared" si="5"/>
        <v>29</v>
      </c>
      <c r="D162" t="str">
        <f>VLOOKUP(B162,Vocabulary!B:D,2,TRUE)</f>
        <v>PUSH/PRES/SHOV*</v>
      </c>
      <c r="E162" t="str">
        <f>VLOOKUP(C162,Vocabulary!B:D,3,TRUE)</f>
        <v>YELL*</v>
      </c>
    </row>
    <row r="163" spans="1:5" x14ac:dyDescent="0.2">
      <c r="A163" s="2" t="s">
        <v>623</v>
      </c>
      <c r="B163" t="str">
        <f t="shared" si="4"/>
        <v>0B</v>
      </c>
      <c r="C163" t="str">
        <f t="shared" si="5"/>
        <v>29</v>
      </c>
      <c r="D163" t="str">
        <f>VLOOKUP(B163,Vocabulary!B:D,2,TRUE)</f>
        <v>PUSH/PRES/SHOV*</v>
      </c>
      <c r="E163" t="str">
        <f>VLOOKUP(C163,Vocabulary!B:D,3,TRUE)</f>
        <v>YELL*</v>
      </c>
    </row>
    <row r="164" spans="1:5" x14ac:dyDescent="0.2">
      <c r="A164" s="2" t="s">
        <v>624</v>
      </c>
      <c r="B164" t="str">
        <f t="shared" si="4"/>
        <v>10</v>
      </c>
      <c r="C164" t="str">
        <f t="shared" si="5"/>
        <v>27</v>
      </c>
      <c r="D164" t="str">
        <f>VLOOKUP(B164,Vocabulary!B:D,2,TRUE)</f>
        <v>INSE*</v>
      </c>
      <c r="E164" t="str">
        <f>VLOOKUP(C164,Vocabulary!B:D,3,TRUE)</f>
        <v>GREE*</v>
      </c>
    </row>
    <row r="165" spans="1:5" x14ac:dyDescent="0.2">
      <c r="A165" s="2" t="s">
        <v>625</v>
      </c>
      <c r="B165" t="str">
        <f t="shared" si="4"/>
        <v>06</v>
      </c>
      <c r="C165" t="str">
        <f t="shared" si="5"/>
        <v>30</v>
      </c>
      <c r="D165" t="str">
        <f>VLOOKUP(B165,Vocabulary!B:D,2,TRUE)</f>
        <v>EXAM/LOOK/INSP/SEAR/VIEW/SEE/READ*</v>
      </c>
      <c r="E165" t="str">
        <f>VLOOKUP(C165,Vocabulary!B:D,3,TRUE)</f>
        <v>PANE/CONT*</v>
      </c>
    </row>
    <row r="166" spans="1:5" x14ac:dyDescent="0.2">
      <c r="A166" s="2" t="s">
        <v>626</v>
      </c>
      <c r="B166" t="str">
        <f t="shared" si="4"/>
        <v>12</v>
      </c>
      <c r="C166" t="str">
        <f t="shared" si="5"/>
        <v>20</v>
      </c>
      <c r="D166" t="str">
        <f>VLOOKUP(B166,Vocabulary!B:D,2,TRUE)</f>
        <v>TURN*</v>
      </c>
      <c r="E166" t="str">
        <f>VLOOKUP(C166,Vocabulary!B:D,3,TRUE)</f>
        <v>KEY*</v>
      </c>
    </row>
    <row r="167" spans="1:5" x14ac:dyDescent="0.2">
      <c r="A167" s="2" t="s">
        <v>627</v>
      </c>
      <c r="B167" t="str">
        <f t="shared" si="4"/>
        <v>1A</v>
      </c>
      <c r="C167" t="str">
        <f t="shared" si="5"/>
        <v>20</v>
      </c>
      <c r="D167" t="str">
        <f>VLOOKUP(B167,Vocabulary!B:D,2,TRUE)</f>
        <v>UNSC/REMO*</v>
      </c>
      <c r="E167" t="str">
        <f>VLOOKUP(C167,Vocabulary!B:D,3,TRUE)</f>
        <v>KEY*</v>
      </c>
    </row>
    <row r="168" spans="1:5" x14ac:dyDescent="0.2">
      <c r="A168" s="2" t="s">
        <v>628</v>
      </c>
      <c r="B168" t="str">
        <f t="shared" si="4"/>
        <v>1A</v>
      </c>
      <c r="C168" t="str">
        <f t="shared" si="5"/>
        <v>28</v>
      </c>
      <c r="D168" t="str">
        <f>VLOOKUP(B168,Vocabulary!B:D,2,TRUE)</f>
        <v>UNSC/REMO*</v>
      </c>
      <c r="E168" t="str">
        <f>VLOOKUP(C168,Vocabulary!B:D,3,TRUE)</f>
        <v>RED*</v>
      </c>
    </row>
    <row r="169" spans="1:5" x14ac:dyDescent="0.2">
      <c r="A169" s="2" t="s">
        <v>629</v>
      </c>
      <c r="B169" t="str">
        <f t="shared" si="4"/>
        <v>04</v>
      </c>
      <c r="C169" t="str">
        <f t="shared" si="5"/>
        <v>0C</v>
      </c>
      <c r="D169" t="str">
        <f>VLOOKUP(B169,Vocabulary!B:D,2,TRUE)</f>
        <v>TOUC/FEEL*</v>
      </c>
      <c r="E169" t="str">
        <f>VLOOKUP(C169,Vocabulary!B:D,3,TRUE)</f>
        <v>LIGH/BEAM*</v>
      </c>
    </row>
    <row r="170" spans="1:5" x14ac:dyDescent="0.2">
      <c r="A170" s="2" t="s">
        <v>630</v>
      </c>
      <c r="B170" t="str">
        <f t="shared" si="4"/>
        <v>03</v>
      </c>
      <c r="C170" t="str">
        <f t="shared" si="5"/>
        <v>08</v>
      </c>
      <c r="D170" t="str">
        <f>VLOOKUP(B170,Vocabulary!B:D,2,TRUE)</f>
        <v>GO/WALK/RIDE/STEP/ENTE/EXIT/RUN/CROS/SWIM/JUMP*</v>
      </c>
      <c r="E170" t="str">
        <f>VLOOKUP(C170,Vocabulary!B:D,3,TRUE)</f>
        <v>DOOR*</v>
      </c>
    </row>
    <row r="171" spans="1:5" x14ac:dyDescent="0.2">
      <c r="A171" s="2" t="s">
        <v>631</v>
      </c>
      <c r="B171" t="str">
        <f t="shared" si="4"/>
        <v>13</v>
      </c>
      <c r="C171" t="str">
        <f t="shared" si="5"/>
        <v>08</v>
      </c>
      <c r="D171" t="str">
        <f>VLOOKUP(B171,Vocabulary!B:D,2,TRUE)</f>
        <v>OPEN/UNLO/UNCO*</v>
      </c>
      <c r="E171" t="str">
        <f>VLOOKUP(C171,Vocabulary!B:D,3,TRUE)</f>
        <v>DOOR*</v>
      </c>
    </row>
    <row r="172" spans="1:5" x14ac:dyDescent="0.2">
      <c r="A172" s="2">
        <v>40809510950</v>
      </c>
      <c r="B172" t="str">
        <f t="shared" si="4"/>
        <v>40</v>
      </c>
      <c r="C172" t="str">
        <f t="shared" si="5"/>
        <v>80</v>
      </c>
      <c r="D172">
        <f>VLOOKUP(B172,Vocabulary!B:D,2,TRUE)</f>
        <v>0</v>
      </c>
      <c r="E172" t="str">
        <f>VLOOKUP(C172,Vocabulary!B:D,3,TRUE)</f>
        <v>ESCA</v>
      </c>
    </row>
    <row r="173" spans="1:5" x14ac:dyDescent="0.2">
      <c r="A173" s="2" t="s">
        <v>632</v>
      </c>
      <c r="B173" t="str">
        <f t="shared" si="4"/>
        <v>04</v>
      </c>
      <c r="C173" t="str">
        <f t="shared" si="5"/>
        <v>0C</v>
      </c>
      <c r="D173" t="str">
        <f>VLOOKUP(B173,Vocabulary!B:D,2,TRUE)</f>
        <v>TOUC/FEEL*</v>
      </c>
      <c r="E173" t="str">
        <f>VLOOKUP(C173,Vocabulary!B:D,3,TRUE)</f>
        <v>LIGH/BEAM*</v>
      </c>
    </row>
    <row r="174" spans="1:5" x14ac:dyDescent="0.2">
      <c r="A174" s="2" t="s">
        <v>633</v>
      </c>
      <c r="B174" t="str">
        <f t="shared" si="4"/>
        <v>06</v>
      </c>
      <c r="C174" t="str">
        <f t="shared" si="5"/>
        <v>0C</v>
      </c>
      <c r="D174" t="str">
        <f>VLOOKUP(B174,Vocabulary!B:D,2,TRUE)</f>
        <v>EXAM/LOOK/INSP/SEAR/VIEW/SEE/READ*</v>
      </c>
      <c r="E174" t="str">
        <f>VLOOKUP(C174,Vocabulary!B:D,3,TRUE)</f>
        <v>LIGH/BEAM*</v>
      </c>
    </row>
    <row r="175" spans="1:5" x14ac:dyDescent="0.2">
      <c r="A175" s="2" t="s">
        <v>634</v>
      </c>
      <c r="B175" t="str">
        <f t="shared" si="4"/>
        <v>03</v>
      </c>
      <c r="C175" t="str">
        <f t="shared" si="5"/>
        <v>08</v>
      </c>
      <c r="D175" t="str">
        <f>VLOOKUP(B175,Vocabulary!B:D,2,TRUE)</f>
        <v>GO/WALK/RIDE/STEP/ENTE/EXIT/RUN/CROS/SWIM/JUMP*</v>
      </c>
      <c r="E175" t="str">
        <f>VLOOKUP(C175,Vocabulary!B:D,3,TRUE)</f>
        <v>DOOR*</v>
      </c>
    </row>
    <row r="176" spans="1:5" x14ac:dyDescent="0.2">
      <c r="A176" s="2">
        <v>30807140952</v>
      </c>
      <c r="B176" t="str">
        <f t="shared" si="4"/>
        <v>30</v>
      </c>
      <c r="C176" t="str">
        <f t="shared" si="5"/>
        <v>80</v>
      </c>
      <c r="D176">
        <f>VLOOKUP(B176,Vocabulary!B:D,2,TRUE)</f>
        <v>0</v>
      </c>
      <c r="E176" t="str">
        <f>VLOOKUP(C176,Vocabulary!B:D,3,TRUE)</f>
        <v>ESCA</v>
      </c>
    </row>
    <row r="177" spans="1:5" x14ac:dyDescent="0.2">
      <c r="A177" s="2" t="s">
        <v>635</v>
      </c>
      <c r="B177" t="str">
        <f t="shared" si="4"/>
        <v>0B</v>
      </c>
      <c r="C177" t="str">
        <f t="shared" si="5"/>
        <v>29</v>
      </c>
      <c r="D177" t="str">
        <f>VLOOKUP(B177,Vocabulary!B:D,2,TRUE)</f>
        <v>PUSH/PRES/SHOV*</v>
      </c>
      <c r="E177" t="str">
        <f>VLOOKUP(C177,Vocabulary!B:D,3,TRUE)</f>
        <v>YELL*</v>
      </c>
    </row>
    <row r="178" spans="1:5" x14ac:dyDescent="0.2">
      <c r="A178" s="2" t="s">
        <v>636</v>
      </c>
      <c r="B178" t="str">
        <f t="shared" si="4"/>
        <v>03</v>
      </c>
      <c r="C178" t="str">
        <f t="shared" si="5"/>
        <v>38</v>
      </c>
      <c r="D178" t="str">
        <f>VLOOKUP(B178,Vocabulary!B:D,2,TRUE)</f>
        <v>GO/WALK/RIDE/STEP/ENTE/EXIT/RUN/CROS/SWIM/JUMP*</v>
      </c>
      <c r="E178" t="str">
        <f>VLOOKUP(C178,Vocabulary!B:D,3,TRUE)</f>
        <v>ROOM*</v>
      </c>
    </row>
    <row r="179" spans="1:5" x14ac:dyDescent="0.2">
      <c r="A179" s="2" t="s">
        <v>636</v>
      </c>
      <c r="B179" t="str">
        <f t="shared" si="4"/>
        <v>03</v>
      </c>
      <c r="C179" t="str">
        <f t="shared" si="5"/>
        <v>38</v>
      </c>
      <c r="D179" t="str">
        <f>VLOOKUP(B179,Vocabulary!B:D,2,TRUE)</f>
        <v>GO/WALK/RIDE/STEP/ENTE/EXIT/RUN/CROS/SWIM/JUMP*</v>
      </c>
      <c r="E179" t="str">
        <f>VLOOKUP(C179,Vocabulary!B:D,3,TRUE)</f>
        <v>ROOM*</v>
      </c>
    </row>
    <row r="180" spans="1:5" x14ac:dyDescent="0.2">
      <c r="A180" s="2" t="s">
        <v>637</v>
      </c>
      <c r="B180" t="str">
        <f t="shared" si="4"/>
        <v>03</v>
      </c>
      <c r="C180" t="str">
        <f t="shared" si="5"/>
        <v>0A</v>
      </c>
      <c r="D180" t="str">
        <f>VLOOKUP(B180,Vocabulary!B:D,2,TRUE)</f>
        <v>GO/WALK/RIDE/STEP/ENTE/EXIT/RUN/CROS/SWIM/JUMP*</v>
      </c>
      <c r="E180" t="str">
        <f>VLOOKUP(C180,Vocabulary!B:D,3,TRUE)</f>
        <v>OPEN/HOLE*</v>
      </c>
    </row>
    <row r="181" spans="1:5" x14ac:dyDescent="0.2">
      <c r="A181" s="2" t="s">
        <v>638</v>
      </c>
      <c r="B181" t="str">
        <f t="shared" si="4"/>
        <v>03</v>
      </c>
      <c r="C181" t="str">
        <f t="shared" si="5"/>
        <v>38</v>
      </c>
      <c r="D181" t="str">
        <f>VLOOKUP(B181,Vocabulary!B:D,2,TRUE)</f>
        <v>GO/WALK/RIDE/STEP/ENTE/EXIT/RUN/CROS/SWIM/JUMP*</v>
      </c>
      <c r="E181" t="str">
        <f>VLOOKUP(C181,Vocabulary!B:D,3,TRUE)</f>
        <v>ROOM*</v>
      </c>
    </row>
    <row r="182" spans="1:5" x14ac:dyDescent="0.2">
      <c r="A182" s="2" t="s">
        <v>639</v>
      </c>
      <c r="B182" t="str">
        <f t="shared" si="4"/>
        <v>06</v>
      </c>
      <c r="C182" t="str">
        <f t="shared" si="5"/>
        <v>30</v>
      </c>
      <c r="D182" t="str">
        <f>VLOOKUP(B182,Vocabulary!B:D,2,TRUE)</f>
        <v>EXAM/LOOK/INSP/SEAR/VIEW/SEE/READ*</v>
      </c>
      <c r="E182" t="str">
        <f>VLOOKUP(C182,Vocabulary!B:D,3,TRUE)</f>
        <v>PANE/CONT*</v>
      </c>
    </row>
    <row r="183" spans="1:5" x14ac:dyDescent="0.2">
      <c r="A183" s="2" t="s">
        <v>640</v>
      </c>
      <c r="B183" t="str">
        <f t="shared" si="4"/>
        <v>0C</v>
      </c>
      <c r="C183" t="str">
        <f t="shared" si="5"/>
        <v>1A</v>
      </c>
      <c r="D183" t="str">
        <f>VLOOKUP(B183,Vocabulary!B:D,2,TRUE)</f>
        <v>PULL*</v>
      </c>
      <c r="E183" t="str">
        <f>VLOOKUP(C183,Vocabulary!B:D,3,TRUE)</f>
        <v>LEVE*</v>
      </c>
    </row>
    <row r="184" spans="1:5" x14ac:dyDescent="0.2">
      <c r="A184" s="2" t="s">
        <v>641</v>
      </c>
      <c r="B184" t="str">
        <f t="shared" si="4"/>
        <v>0B</v>
      </c>
      <c r="C184" t="str">
        <f t="shared" si="5"/>
        <v>1A</v>
      </c>
      <c r="D184" t="str">
        <f>VLOOKUP(B184,Vocabulary!B:D,2,TRUE)</f>
        <v>PUSH/PRES/SHOV*</v>
      </c>
      <c r="E184" t="str">
        <f>VLOOKUP(C184,Vocabulary!B:D,3,TRUE)</f>
        <v>LEVE*</v>
      </c>
    </row>
    <row r="185" spans="1:5" x14ac:dyDescent="0.2">
      <c r="A185" s="2" t="s">
        <v>642</v>
      </c>
      <c r="B185" t="str">
        <f t="shared" si="4"/>
        <v>0B</v>
      </c>
      <c r="C185" t="str">
        <f t="shared" si="5"/>
        <v>1A</v>
      </c>
      <c r="D185" t="str">
        <f>VLOOKUP(B185,Vocabulary!B:D,2,TRUE)</f>
        <v>PUSH/PRES/SHOV*</v>
      </c>
      <c r="E185" t="str">
        <f>VLOOKUP(C185,Vocabulary!B:D,3,TRUE)</f>
        <v>LEVE*</v>
      </c>
    </row>
    <row r="186" spans="1:5" x14ac:dyDescent="0.2">
      <c r="A186" s="2" t="s">
        <v>643</v>
      </c>
      <c r="B186" t="str">
        <f t="shared" si="4"/>
        <v>0C</v>
      </c>
      <c r="C186" t="str">
        <f t="shared" si="5"/>
        <v>1A</v>
      </c>
      <c r="D186" t="str">
        <f>VLOOKUP(B186,Vocabulary!B:D,2,TRUE)</f>
        <v>PULL*</v>
      </c>
      <c r="E186" t="str">
        <f>VLOOKUP(C186,Vocabulary!B:D,3,TRUE)</f>
        <v>LEVE*</v>
      </c>
    </row>
    <row r="187" spans="1:5" x14ac:dyDescent="0.2">
      <c r="A187" s="2" t="s">
        <v>644</v>
      </c>
      <c r="B187" t="str">
        <f t="shared" si="4"/>
        <v>0B</v>
      </c>
      <c r="C187" t="str">
        <f t="shared" si="5"/>
        <v>27</v>
      </c>
      <c r="D187" t="str">
        <f>VLOOKUP(B187,Vocabulary!B:D,2,TRUE)</f>
        <v>PUSH/PRES/SHOV*</v>
      </c>
      <c r="E187" t="str">
        <f>VLOOKUP(C187,Vocabulary!B:D,3,TRUE)</f>
        <v>GREE*</v>
      </c>
    </row>
    <row r="188" spans="1:5" x14ac:dyDescent="0.2">
      <c r="A188" s="2" t="s">
        <v>645</v>
      </c>
      <c r="B188" t="str">
        <f t="shared" si="4"/>
        <v>0B</v>
      </c>
      <c r="C188" t="str">
        <f t="shared" si="5"/>
        <v>27</v>
      </c>
      <c r="D188" t="str">
        <f>VLOOKUP(B188,Vocabulary!B:D,2,TRUE)</f>
        <v>PUSH/PRES/SHOV*</v>
      </c>
      <c r="E188" t="str">
        <f>VLOOKUP(C188,Vocabulary!B:D,3,TRUE)</f>
        <v>GREE*</v>
      </c>
    </row>
    <row r="189" spans="1:5" x14ac:dyDescent="0.2">
      <c r="A189" s="2" t="s">
        <v>646</v>
      </c>
      <c r="B189" t="str">
        <f t="shared" si="4"/>
        <v>03</v>
      </c>
      <c r="C189" t="str">
        <f t="shared" si="5"/>
        <v>0A</v>
      </c>
      <c r="D189" t="str">
        <f>VLOOKUP(B189,Vocabulary!B:D,2,TRUE)</f>
        <v>GO/WALK/RIDE/STEP/ENTE/EXIT/RUN/CROS/SWIM/JUMP*</v>
      </c>
      <c r="E189" t="str">
        <f>VLOOKUP(C189,Vocabulary!B:D,3,TRUE)</f>
        <v>OPEN/HOLE*</v>
      </c>
    </row>
    <row r="190" spans="1:5" x14ac:dyDescent="0.2">
      <c r="A190" s="2" t="s">
        <v>647</v>
      </c>
      <c r="B190" t="str">
        <f t="shared" si="4"/>
        <v>06</v>
      </c>
      <c r="C190" t="str">
        <f t="shared" si="5"/>
        <v>0E</v>
      </c>
      <c r="D190" t="str">
        <f>VLOOKUP(B190,Vocabulary!B:D,2,TRUE)</f>
        <v>EXAM/LOOK/INSP/SEAR/VIEW/SEE/READ*</v>
      </c>
      <c r="E190" t="str">
        <f>VLOOKUP(C190,Vocabulary!B:D,3,TRUE)</f>
        <v>ROBO*</v>
      </c>
    </row>
    <row r="191" spans="1:5" x14ac:dyDescent="0.2">
      <c r="A191" s="2" t="s">
        <v>648</v>
      </c>
      <c r="B191" t="str">
        <f t="shared" si="4"/>
        <v>05</v>
      </c>
      <c r="C191" t="str">
        <f t="shared" si="5"/>
        <v>0E</v>
      </c>
      <c r="D191" t="str">
        <f>VLOOKUP(B191,Vocabulary!B:D,2,TRUE)</f>
        <v>KILL/DEST/WREC/RUIN/SMAS/BREA/ATTA*</v>
      </c>
      <c r="E191" t="str">
        <f>VLOOKUP(C191,Vocabulary!B:D,3,TRUE)</f>
        <v>ROBO*</v>
      </c>
    </row>
    <row r="192" spans="1:5" x14ac:dyDescent="0.2">
      <c r="A192" s="2" t="s">
        <v>649</v>
      </c>
      <c r="B192" t="str">
        <f t="shared" si="4"/>
        <v>04</v>
      </c>
      <c r="C192" t="str">
        <f t="shared" si="5"/>
        <v>0C</v>
      </c>
      <c r="D192" t="str">
        <f>VLOOKUP(B192,Vocabulary!B:D,2,TRUE)</f>
        <v>TOUC/FEEL*</v>
      </c>
      <c r="E192" t="str">
        <f>VLOOKUP(C192,Vocabulary!B:D,3,TRUE)</f>
        <v>LIGH/BEAM*</v>
      </c>
    </row>
    <row r="193" spans="1:5" x14ac:dyDescent="0.2">
      <c r="A193" s="2" t="s">
        <v>650</v>
      </c>
      <c r="B193" t="str">
        <f t="shared" si="4"/>
        <v>13</v>
      </c>
      <c r="C193" t="str">
        <f t="shared" si="5"/>
        <v>08</v>
      </c>
      <c r="D193" t="str">
        <f>VLOOKUP(B193,Vocabulary!B:D,2,TRUE)</f>
        <v>OPEN/UNLO/UNCO*</v>
      </c>
      <c r="E193" t="str">
        <f>VLOOKUP(C193,Vocabulary!B:D,3,TRUE)</f>
        <v>DOOR*</v>
      </c>
    </row>
    <row r="194" spans="1:5" x14ac:dyDescent="0.2">
      <c r="A194" s="2" t="s">
        <v>560</v>
      </c>
      <c r="B194" t="str">
        <f t="shared" si="4"/>
        <v>04</v>
      </c>
      <c r="C194" t="str">
        <f t="shared" si="5"/>
        <v>08</v>
      </c>
      <c r="D194" t="str">
        <f>VLOOKUP(B194,Vocabulary!B:D,2,TRUE)</f>
        <v>TOUC/FEEL*</v>
      </c>
      <c r="E194" t="str">
        <f>VLOOKUP(C194,Vocabulary!B:D,3,TRUE)</f>
        <v>DOOR*</v>
      </c>
    </row>
    <row r="195" spans="1:5" x14ac:dyDescent="0.2">
      <c r="A195" s="2" t="s">
        <v>651</v>
      </c>
      <c r="B195" t="str">
        <f t="shared" ref="B195:B258" si="6">LEFT(A195,2)</f>
        <v>03</v>
      </c>
      <c r="C195" t="str">
        <f t="shared" ref="C195:C258" si="7">MID(A195,3,2)</f>
        <v>08</v>
      </c>
      <c r="D195" t="str">
        <f>VLOOKUP(B195,Vocabulary!B:D,2,TRUE)</f>
        <v>GO/WALK/RIDE/STEP/ENTE/EXIT/RUN/CROS/SWIM/JUMP*</v>
      </c>
      <c r="E195" t="str">
        <f>VLOOKUP(C195,Vocabulary!B:D,3,TRUE)</f>
        <v>DOOR*</v>
      </c>
    </row>
    <row r="196" spans="1:5" x14ac:dyDescent="0.2">
      <c r="A196" s="2" t="s">
        <v>652</v>
      </c>
      <c r="B196" t="str">
        <f t="shared" si="6"/>
        <v>06</v>
      </c>
      <c r="C196" t="str">
        <f t="shared" si="7"/>
        <v>0C</v>
      </c>
      <c r="D196" t="str">
        <f>VLOOKUP(B196,Vocabulary!B:D,2,TRUE)</f>
        <v>EXAM/LOOK/INSP/SEAR/VIEW/SEE/READ*</v>
      </c>
      <c r="E196" t="str">
        <f>VLOOKUP(C196,Vocabulary!B:D,3,TRUE)</f>
        <v>LIGH/BEAM*</v>
      </c>
    </row>
    <row r="197" spans="1:5" x14ac:dyDescent="0.2">
      <c r="A197" s="2" t="s">
        <v>653</v>
      </c>
      <c r="B197" t="str">
        <f t="shared" si="6"/>
        <v>04</v>
      </c>
      <c r="C197" t="str">
        <f t="shared" si="7"/>
        <v>0C</v>
      </c>
      <c r="D197" t="str">
        <f>VLOOKUP(B197,Vocabulary!B:D,2,TRUE)</f>
        <v>TOUC/FEEL*</v>
      </c>
      <c r="E197" t="str">
        <f>VLOOKUP(C197,Vocabulary!B:D,3,TRUE)</f>
        <v>LIGH/BEAM*</v>
      </c>
    </row>
    <row r="198" spans="1:5" x14ac:dyDescent="0.2">
      <c r="A198" s="2">
        <v>30807180955</v>
      </c>
      <c r="B198" t="str">
        <f t="shared" si="6"/>
        <v>30</v>
      </c>
      <c r="C198" t="str">
        <f t="shared" si="7"/>
        <v>80</v>
      </c>
      <c r="D198">
        <f>VLOOKUP(B198,Vocabulary!B:D,2,TRUE)</f>
        <v>0</v>
      </c>
      <c r="E198" t="str">
        <f>VLOOKUP(C198,Vocabulary!B:D,3,TRUE)</f>
        <v>ESCA</v>
      </c>
    </row>
    <row r="199" spans="1:5" x14ac:dyDescent="0.2">
      <c r="A199" s="2">
        <v>30807190955</v>
      </c>
      <c r="B199" t="str">
        <f t="shared" si="6"/>
        <v>30</v>
      </c>
      <c r="C199" t="str">
        <f t="shared" si="7"/>
        <v>80</v>
      </c>
      <c r="D199">
        <f>VLOOKUP(B199,Vocabulary!B:D,2,TRUE)</f>
        <v>0</v>
      </c>
      <c r="E199" t="str">
        <f>VLOOKUP(C199,Vocabulary!B:D,3,TRUE)</f>
        <v>ESCA</v>
      </c>
    </row>
    <row r="200" spans="1:5" x14ac:dyDescent="0.2">
      <c r="A200" s="2" t="s">
        <v>654</v>
      </c>
      <c r="B200" t="str">
        <f t="shared" si="6"/>
        <v>06</v>
      </c>
      <c r="C200" t="str">
        <f t="shared" si="7"/>
        <v>0E</v>
      </c>
      <c r="D200" t="str">
        <f>VLOOKUP(B200,Vocabulary!B:D,2,TRUE)</f>
        <v>EXAM/LOOK/INSP/SEAR/VIEW/SEE/READ*</v>
      </c>
      <c r="E200" t="str">
        <f>VLOOKUP(C200,Vocabulary!B:D,3,TRUE)</f>
        <v>ROBO*</v>
      </c>
    </row>
    <row r="201" spans="1:5" x14ac:dyDescent="0.2">
      <c r="A201" s="2" t="s">
        <v>655</v>
      </c>
      <c r="B201" t="str">
        <f t="shared" si="6"/>
        <v>05</v>
      </c>
      <c r="C201" t="str">
        <f t="shared" si="7"/>
        <v>0E</v>
      </c>
      <c r="D201" t="str">
        <f>VLOOKUP(B201,Vocabulary!B:D,2,TRUE)</f>
        <v>KILL/DEST/WREC/RUIN/SMAS/BREA/ATTA*</v>
      </c>
      <c r="E201" t="str">
        <f>VLOOKUP(C201,Vocabulary!B:D,3,TRUE)</f>
        <v>ROBO*</v>
      </c>
    </row>
    <row r="202" spans="1:5" x14ac:dyDescent="0.2">
      <c r="A202" s="2" t="s">
        <v>656</v>
      </c>
      <c r="B202" t="str">
        <f t="shared" si="6"/>
        <v>11</v>
      </c>
      <c r="C202" t="str">
        <f t="shared" si="7"/>
        <v>0E</v>
      </c>
      <c r="D202" t="str">
        <f>VLOOKUP(B202,Vocabulary!B:D,2,TRUE)</f>
        <v>SHOO/BLAS*</v>
      </c>
      <c r="E202" t="str">
        <f>VLOOKUP(C202,Vocabulary!B:D,3,TRUE)</f>
        <v>ROBO*</v>
      </c>
    </row>
    <row r="203" spans="1:5" x14ac:dyDescent="0.2">
      <c r="A203" s="2" t="s">
        <v>657</v>
      </c>
      <c r="B203" t="str">
        <f t="shared" si="6"/>
        <v>06</v>
      </c>
      <c r="C203" t="str">
        <f t="shared" si="7"/>
        <v>0E</v>
      </c>
      <c r="D203" t="str">
        <f>VLOOKUP(B203,Vocabulary!B:D,2,TRUE)</f>
        <v>EXAM/LOOK/INSP/SEAR/VIEW/SEE/READ*</v>
      </c>
      <c r="E203" t="str">
        <f>VLOOKUP(C203,Vocabulary!B:D,3,TRUE)</f>
        <v>ROBO*</v>
      </c>
    </row>
    <row r="204" spans="1:5" x14ac:dyDescent="0.2">
      <c r="A204" s="2" t="s">
        <v>658</v>
      </c>
      <c r="B204" t="str">
        <f t="shared" si="6"/>
        <v>11</v>
      </c>
      <c r="C204" t="str">
        <f t="shared" si="7"/>
        <v>0E</v>
      </c>
      <c r="D204" t="str">
        <f>VLOOKUP(B204,Vocabulary!B:D,2,TRUE)</f>
        <v>SHOO/BLAS*</v>
      </c>
      <c r="E204" t="str">
        <f>VLOOKUP(C204,Vocabulary!B:D,3,TRUE)</f>
        <v>ROBO*</v>
      </c>
    </row>
    <row r="205" spans="1:5" x14ac:dyDescent="0.2">
      <c r="A205" s="2" t="s">
        <v>656</v>
      </c>
      <c r="B205" t="str">
        <f t="shared" si="6"/>
        <v>11</v>
      </c>
      <c r="C205" t="str">
        <f t="shared" si="7"/>
        <v>0E</v>
      </c>
      <c r="D205" t="str">
        <f>VLOOKUP(B205,Vocabulary!B:D,2,TRUE)</f>
        <v>SHOO/BLAS*</v>
      </c>
      <c r="E205" t="str">
        <f>VLOOKUP(C205,Vocabulary!B:D,3,TRUE)</f>
        <v>ROBO*</v>
      </c>
    </row>
    <row r="206" spans="1:5" x14ac:dyDescent="0.2">
      <c r="A206" s="2" t="s">
        <v>659</v>
      </c>
      <c r="B206" t="str">
        <f t="shared" si="6"/>
        <v>11</v>
      </c>
      <c r="C206" t="str">
        <f t="shared" si="7"/>
        <v>0E</v>
      </c>
      <c r="D206" t="str">
        <f>VLOOKUP(B206,Vocabulary!B:D,2,TRUE)</f>
        <v>SHOO/BLAS*</v>
      </c>
      <c r="E206" t="str">
        <f>VLOOKUP(C206,Vocabulary!B:D,3,TRUE)</f>
        <v>ROBO*</v>
      </c>
    </row>
    <row r="207" spans="1:5" x14ac:dyDescent="0.2">
      <c r="A207" s="2" t="s">
        <v>660</v>
      </c>
      <c r="B207" t="str">
        <f t="shared" si="6"/>
        <v>03</v>
      </c>
      <c r="C207" t="str">
        <f t="shared" si="7"/>
        <v>0B</v>
      </c>
      <c r="D207" t="str">
        <f>VLOOKUP(B207,Vocabulary!B:D,2,TRUE)</f>
        <v>GO/WALK/RIDE/STEP/ENTE/EXIT/RUN/CROS/SWIM/JUMP*</v>
      </c>
      <c r="E207" t="str">
        <f>VLOOKUP(C207,Vocabulary!B:D,3,TRUE)</f>
        <v>BUIL*</v>
      </c>
    </row>
    <row r="208" spans="1:5" x14ac:dyDescent="0.2">
      <c r="A208" s="2" t="s">
        <v>661</v>
      </c>
      <c r="B208" t="str">
        <f t="shared" si="6"/>
        <v>0B</v>
      </c>
      <c r="C208" t="str">
        <f t="shared" si="7"/>
        <v>28</v>
      </c>
      <c r="D208" t="str">
        <f>VLOOKUP(B208,Vocabulary!B:D,2,TRUE)</f>
        <v>PUSH/PRES/SHOV*</v>
      </c>
      <c r="E208" t="str">
        <f>VLOOKUP(C208,Vocabulary!B:D,3,TRUE)</f>
        <v>RED*</v>
      </c>
    </row>
    <row r="209" spans="1:5" x14ac:dyDescent="0.2">
      <c r="A209" s="2" t="s">
        <v>662</v>
      </c>
      <c r="B209" t="str">
        <f t="shared" si="6"/>
        <v>03</v>
      </c>
      <c r="C209" t="str">
        <f t="shared" si="7"/>
        <v>1F</v>
      </c>
      <c r="D209" t="str">
        <f>VLOOKUP(B209,Vocabulary!B:D,2,TRUE)</f>
        <v>GO/WALK/RIDE/STEP/ENTE/EXIT/RUN/CROS/SWIM/JUMP*</v>
      </c>
      <c r="E209" t="str">
        <f>VLOOKUP(C209,Vocabulary!B:D,3,TRUE)</f>
        <v>STRU/REAC*</v>
      </c>
    </row>
    <row r="210" spans="1:5" x14ac:dyDescent="0.2">
      <c r="A210" s="2" t="s">
        <v>870</v>
      </c>
      <c r="B210" t="str">
        <f t="shared" si="6"/>
        <v>06</v>
      </c>
      <c r="C210" t="str">
        <f t="shared" si="7"/>
        <v>22</v>
      </c>
      <c r="D210" t="str">
        <f>VLOOKUP(B210,Vocabulary!B:D,2,TRUE)</f>
        <v>EXAM/LOOK/INSP/SEAR/VIEW/SEE/READ*</v>
      </c>
      <c r="E210" t="str">
        <f>VLOOKUP(C210,Vocabulary!B:D,3,TRUE)</f>
        <v>BOX*</v>
      </c>
    </row>
    <row r="211" spans="1:5" x14ac:dyDescent="0.2">
      <c r="A211" s="2" t="s">
        <v>663</v>
      </c>
      <c r="B211" t="str">
        <f t="shared" si="6"/>
        <v>06</v>
      </c>
      <c r="C211" t="str">
        <f t="shared" si="7"/>
        <v>0C</v>
      </c>
      <c r="D211" t="str">
        <f>VLOOKUP(B211,Vocabulary!B:D,2,TRUE)</f>
        <v>EXAM/LOOK/INSP/SEAR/VIEW/SEE/READ*</v>
      </c>
      <c r="E211" t="str">
        <f>VLOOKUP(C211,Vocabulary!B:D,3,TRUE)</f>
        <v>LIGH/BEAM*</v>
      </c>
    </row>
    <row r="212" spans="1:5" x14ac:dyDescent="0.2">
      <c r="A212" s="2" t="s">
        <v>664</v>
      </c>
      <c r="B212" t="str">
        <f t="shared" si="6"/>
        <v>04</v>
      </c>
      <c r="C212" t="str">
        <f t="shared" si="7"/>
        <v>0C</v>
      </c>
      <c r="D212" t="str">
        <f>VLOOKUP(B212,Vocabulary!B:D,2,TRUE)</f>
        <v>TOUC/FEEL*</v>
      </c>
      <c r="E212" t="str">
        <f>VLOOKUP(C212,Vocabulary!B:D,3,TRUE)</f>
        <v>LIGH/BEAM*</v>
      </c>
    </row>
    <row r="213" spans="1:5" x14ac:dyDescent="0.2">
      <c r="A213" s="2" t="s">
        <v>665</v>
      </c>
      <c r="B213" t="str">
        <f t="shared" si="6"/>
        <v>03</v>
      </c>
      <c r="C213" t="str">
        <f t="shared" si="7"/>
        <v>08</v>
      </c>
      <c r="D213" t="str">
        <f>VLOOKUP(B213,Vocabulary!B:D,2,TRUE)</f>
        <v>GO/WALK/RIDE/STEP/ENTE/EXIT/RUN/CROS/SWIM/JUMP*</v>
      </c>
      <c r="E213" t="str">
        <f>VLOOKUP(C213,Vocabulary!B:D,3,TRUE)</f>
        <v>DOOR*</v>
      </c>
    </row>
    <row r="214" spans="1:5" x14ac:dyDescent="0.2">
      <c r="A214" s="2" t="s">
        <v>557</v>
      </c>
      <c r="B214" t="str">
        <f t="shared" si="6"/>
        <v>04</v>
      </c>
      <c r="C214" t="str">
        <f t="shared" si="7"/>
        <v>08</v>
      </c>
      <c r="D214" t="str">
        <f>VLOOKUP(B214,Vocabulary!B:D,2,TRUE)</f>
        <v>TOUC/FEEL*</v>
      </c>
      <c r="E214" t="str">
        <f>VLOOKUP(C214,Vocabulary!B:D,3,TRUE)</f>
        <v>DOOR*</v>
      </c>
    </row>
    <row r="215" spans="1:5" x14ac:dyDescent="0.2">
      <c r="A215" s="2" t="s">
        <v>666</v>
      </c>
      <c r="B215" t="str">
        <f t="shared" si="6"/>
        <v>13</v>
      </c>
      <c r="C215" t="str">
        <f t="shared" si="7"/>
        <v>08</v>
      </c>
      <c r="D215" t="str">
        <f>VLOOKUP(B215,Vocabulary!B:D,2,TRUE)</f>
        <v>OPEN/UNLO/UNCO*</v>
      </c>
      <c r="E215" t="str">
        <f>VLOOKUP(C215,Vocabulary!B:D,3,TRUE)</f>
        <v>DOOR*</v>
      </c>
    </row>
    <row r="216" spans="1:5" x14ac:dyDescent="0.2">
      <c r="A216" s="2" t="s">
        <v>667</v>
      </c>
      <c r="B216" t="str">
        <f t="shared" si="6"/>
        <v>04</v>
      </c>
      <c r="C216" t="str">
        <f t="shared" si="7"/>
        <v>0C</v>
      </c>
      <c r="D216" t="str">
        <f>VLOOKUP(B216,Vocabulary!B:D,2,TRUE)</f>
        <v>TOUC/FEEL*</v>
      </c>
      <c r="E216" t="str">
        <f>VLOOKUP(C216,Vocabulary!B:D,3,TRUE)</f>
        <v>LIGH/BEAM*</v>
      </c>
    </row>
    <row r="217" spans="1:5" x14ac:dyDescent="0.2">
      <c r="A217" s="2" t="s">
        <v>668</v>
      </c>
      <c r="B217" t="str">
        <f t="shared" si="6"/>
        <v>03</v>
      </c>
      <c r="C217" t="str">
        <f t="shared" si="7"/>
        <v>08</v>
      </c>
      <c r="D217" t="str">
        <f>VLOOKUP(B217,Vocabulary!B:D,2,TRUE)</f>
        <v>GO/WALK/RIDE/STEP/ENTE/EXIT/RUN/CROS/SWIM/JUMP*</v>
      </c>
      <c r="E217" t="str">
        <f>VLOOKUP(C217,Vocabulary!B:D,3,TRUE)</f>
        <v>DOOR*</v>
      </c>
    </row>
    <row r="218" spans="1:5" x14ac:dyDescent="0.2">
      <c r="A218" s="2" t="s">
        <v>669</v>
      </c>
      <c r="B218" t="str">
        <f t="shared" si="6"/>
        <v>03</v>
      </c>
      <c r="C218" t="str">
        <f t="shared" si="7"/>
        <v>08</v>
      </c>
      <c r="D218" t="str">
        <f>VLOOKUP(B218,Vocabulary!B:D,2,TRUE)</f>
        <v>GO/WALK/RIDE/STEP/ENTE/EXIT/RUN/CROS/SWIM/JUMP*</v>
      </c>
      <c r="E218" t="str">
        <f>VLOOKUP(C218,Vocabulary!B:D,3,TRUE)</f>
        <v>DOOR*</v>
      </c>
    </row>
    <row r="219" spans="1:5" x14ac:dyDescent="0.2">
      <c r="A219" s="2" t="s">
        <v>670</v>
      </c>
      <c r="B219" t="str">
        <f t="shared" si="6"/>
        <v>03</v>
      </c>
      <c r="C219" t="str">
        <f t="shared" si="7"/>
        <v>0B</v>
      </c>
      <c r="D219" t="str">
        <f>VLOOKUP(B219,Vocabulary!B:D,2,TRUE)</f>
        <v>GO/WALK/RIDE/STEP/ENTE/EXIT/RUN/CROS/SWIM/JUMP*</v>
      </c>
      <c r="E219" t="str">
        <f>VLOOKUP(C219,Vocabulary!B:D,3,TRUE)</f>
        <v>BUIL*</v>
      </c>
    </row>
    <row r="220" spans="1:5" x14ac:dyDescent="0.2">
      <c r="A220" s="2" t="s">
        <v>671</v>
      </c>
      <c r="B220" t="str">
        <f t="shared" si="6"/>
        <v>06</v>
      </c>
      <c r="C220" t="str">
        <f t="shared" si="7"/>
        <v>21</v>
      </c>
      <c r="D220" t="str">
        <f>VLOOKUP(B220,Vocabulary!B:D,2,TRUE)</f>
        <v>EXAM/LOOK/INSP/SEAR/VIEW/SEE/READ*</v>
      </c>
      <c r="E220" t="str">
        <f>VLOOKUP(C220,Vocabulary!B:D,3,TRUE)</f>
        <v>LASE/PIST*</v>
      </c>
    </row>
    <row r="221" spans="1:5" x14ac:dyDescent="0.2">
      <c r="A221" s="2" t="s">
        <v>672</v>
      </c>
      <c r="B221" t="str">
        <f t="shared" si="6"/>
        <v>06</v>
      </c>
      <c r="C221" t="str">
        <f t="shared" si="7"/>
        <v>21</v>
      </c>
      <c r="D221" t="str">
        <f>VLOOKUP(B221,Vocabulary!B:D,2,TRUE)</f>
        <v>EXAM/LOOK/INSP/SEAR/VIEW/SEE/READ*</v>
      </c>
      <c r="E221" t="str">
        <f>VLOOKUP(C221,Vocabulary!B:D,3,TRUE)</f>
        <v>LASE/PIST*</v>
      </c>
    </row>
    <row r="222" spans="1:5" x14ac:dyDescent="0.2">
      <c r="A222" s="2" t="s">
        <v>673</v>
      </c>
      <c r="B222" t="str">
        <f t="shared" si="6"/>
        <v>06</v>
      </c>
      <c r="C222" t="str">
        <f t="shared" si="7"/>
        <v>1C</v>
      </c>
      <c r="D222" t="str">
        <f>VLOOKUP(B222,Vocabulary!B:D,2,TRUE)</f>
        <v>EXAM/LOOK/INSP/SEAR/VIEW/SEE/READ*</v>
      </c>
      <c r="E222" t="str">
        <f>VLOOKUP(C222,Vocabulary!B:D,3,TRUE)</f>
        <v>CARD*</v>
      </c>
    </row>
    <row r="223" spans="1:5" x14ac:dyDescent="0.2">
      <c r="A223" s="2" t="s">
        <v>674</v>
      </c>
      <c r="B223" t="str">
        <f t="shared" si="6"/>
        <v>06</v>
      </c>
      <c r="C223" t="str">
        <f t="shared" si="7"/>
        <v>1F</v>
      </c>
      <c r="D223" t="str">
        <f>VLOOKUP(B223,Vocabulary!B:D,2,TRUE)</f>
        <v>EXAM/LOOK/INSP/SEAR/VIEW/SEE/READ*</v>
      </c>
      <c r="E223" t="str">
        <f>VLOOKUP(C223,Vocabulary!B:D,3,TRUE)</f>
        <v>STRU/REAC*</v>
      </c>
    </row>
    <row r="224" spans="1:5" x14ac:dyDescent="0.2">
      <c r="A224" s="2" t="s">
        <v>675</v>
      </c>
      <c r="B224" t="str">
        <f t="shared" si="6"/>
        <v>06</v>
      </c>
      <c r="C224" t="str">
        <f t="shared" si="7"/>
        <v>0E</v>
      </c>
      <c r="D224" t="str">
        <f>VLOOKUP(B224,Vocabulary!B:D,2,TRUE)</f>
        <v>EXAM/LOOK/INSP/SEAR/VIEW/SEE/READ*</v>
      </c>
      <c r="E224" t="str">
        <f>VLOOKUP(C224,Vocabulary!B:D,3,TRUE)</f>
        <v>ROBO*</v>
      </c>
    </row>
    <row r="225" spans="1:5" x14ac:dyDescent="0.2">
      <c r="A225" s="2" t="s">
        <v>676</v>
      </c>
      <c r="B225" t="str">
        <f t="shared" si="6"/>
        <v>06</v>
      </c>
      <c r="C225" t="str">
        <f t="shared" si="7"/>
        <v>1D</v>
      </c>
      <c r="D225" t="str">
        <f>VLOOKUP(B225,Vocabulary!B:D,2,TRUE)</f>
        <v>EXAM/LOOK/INSP/SEAR/VIEW/SEE/READ*</v>
      </c>
      <c r="E225" t="str">
        <f>VLOOKUP(C225,Vocabulary!B:D,3,TRUE)</f>
        <v>CANI*</v>
      </c>
    </row>
    <row r="226" spans="1:5" x14ac:dyDescent="0.2">
      <c r="A226" s="2" t="s">
        <v>677</v>
      </c>
      <c r="B226" t="str">
        <f t="shared" si="6"/>
        <v>06</v>
      </c>
      <c r="C226" t="str">
        <f t="shared" si="7"/>
        <v>1D</v>
      </c>
      <c r="D226" t="str">
        <f>VLOOKUP(B226,Vocabulary!B:D,2,TRUE)</f>
        <v>EXAM/LOOK/INSP/SEAR/VIEW/SEE/READ*</v>
      </c>
      <c r="E226" t="str">
        <f>VLOOKUP(C226,Vocabulary!B:D,3,TRUE)</f>
        <v>CANI*</v>
      </c>
    </row>
    <row r="227" spans="1:5" x14ac:dyDescent="0.2">
      <c r="A227" s="2" t="s">
        <v>678</v>
      </c>
      <c r="B227" t="str">
        <f t="shared" si="6"/>
        <v>01</v>
      </c>
      <c r="C227" t="str">
        <f t="shared" si="7"/>
        <v>1E</v>
      </c>
      <c r="D227" t="str">
        <f>VLOOKUP(B227,Vocabulary!B:D,2,TRUE)</f>
        <v>GET/TAKE/GRAB/HOLD/CARR/FETC*</v>
      </c>
      <c r="E227" t="str">
        <f>VLOOKUP(C227,Vocabulary!B:D,3,TRUE)</f>
        <v>STON*</v>
      </c>
    </row>
    <row r="228" spans="1:5" x14ac:dyDescent="0.2">
      <c r="A228" s="2" t="s">
        <v>679</v>
      </c>
      <c r="B228" t="str">
        <f t="shared" si="6"/>
        <v>03</v>
      </c>
      <c r="C228" t="str">
        <f t="shared" si="7"/>
        <v>1F</v>
      </c>
      <c r="D228" t="str">
        <f>VLOOKUP(B228,Vocabulary!B:D,2,TRUE)</f>
        <v>GO/WALK/RIDE/STEP/ENTE/EXIT/RUN/CROS/SWIM/JUMP*</v>
      </c>
      <c r="E228" t="str">
        <f>VLOOKUP(C228,Vocabulary!B:D,3,TRUE)</f>
        <v>STRU/REAC*</v>
      </c>
    </row>
    <row r="229" spans="1:5" x14ac:dyDescent="0.2">
      <c r="A229" s="2" t="s">
        <v>680</v>
      </c>
      <c r="B229" t="str">
        <f t="shared" si="6"/>
        <v>13</v>
      </c>
      <c r="C229" t="str">
        <f t="shared" si="7"/>
        <v>1D</v>
      </c>
      <c r="D229" t="str">
        <f>VLOOKUP(B229,Vocabulary!B:D,2,TRUE)</f>
        <v>OPEN/UNLO/UNCO*</v>
      </c>
      <c r="E229" t="str">
        <f>VLOOKUP(C229,Vocabulary!B:D,3,TRUE)</f>
        <v>CANI*</v>
      </c>
    </row>
    <row r="230" spans="1:5" x14ac:dyDescent="0.2">
      <c r="A230" s="2" t="s">
        <v>681</v>
      </c>
      <c r="B230" t="str">
        <f t="shared" si="6"/>
        <v>05</v>
      </c>
      <c r="C230" t="str">
        <f t="shared" si="7"/>
        <v>0E</v>
      </c>
      <c r="D230" t="str">
        <f>VLOOKUP(B230,Vocabulary!B:D,2,TRUE)</f>
        <v>KILL/DEST/WREC/RUIN/SMAS/BREA/ATTA*</v>
      </c>
      <c r="E230" t="str">
        <f>VLOOKUP(C230,Vocabulary!B:D,3,TRUE)</f>
        <v>ROBO*</v>
      </c>
    </row>
    <row r="231" spans="1:5" x14ac:dyDescent="0.2">
      <c r="A231" s="2" t="s">
        <v>682</v>
      </c>
      <c r="B231" t="str">
        <f t="shared" si="6"/>
        <v>11</v>
      </c>
      <c r="C231" t="str">
        <f t="shared" si="7"/>
        <v>0E</v>
      </c>
      <c r="D231" t="str">
        <f>VLOOKUP(B231,Vocabulary!B:D,2,TRUE)</f>
        <v>SHOO/BLAS*</v>
      </c>
      <c r="E231" t="str">
        <f>VLOOKUP(C231,Vocabulary!B:D,3,TRUE)</f>
        <v>ROBO*</v>
      </c>
    </row>
    <row r="232" spans="1:5" x14ac:dyDescent="0.2">
      <c r="A232" s="2" t="s">
        <v>683</v>
      </c>
      <c r="B232" t="str">
        <f t="shared" si="6"/>
        <v>01</v>
      </c>
      <c r="C232" t="str">
        <f t="shared" si="7"/>
        <v>1E</v>
      </c>
      <c r="D232" t="str">
        <f>VLOOKUP(B232,Vocabulary!B:D,2,TRUE)</f>
        <v>GET/TAKE/GRAB/HOLD/CARR/FETC*</v>
      </c>
      <c r="E232" t="str">
        <f>VLOOKUP(C232,Vocabulary!B:D,3,TRUE)</f>
        <v>STON*</v>
      </c>
    </row>
    <row r="233" spans="1:5" x14ac:dyDescent="0.2">
      <c r="A233" s="2" t="s">
        <v>684</v>
      </c>
      <c r="B233" t="str">
        <f t="shared" si="6"/>
        <v>02</v>
      </c>
      <c r="C233" t="str">
        <f t="shared" si="7"/>
        <v>1E</v>
      </c>
      <c r="D233" t="str">
        <f>VLOOKUP(B233,Vocabulary!B:D,2,TRUE)</f>
        <v>DROP/PUT*</v>
      </c>
      <c r="E233" t="str">
        <f>VLOOKUP(C233,Vocabulary!B:D,3,TRUE)</f>
        <v>STON*</v>
      </c>
    </row>
    <row r="234" spans="1:5" x14ac:dyDescent="0.2">
      <c r="A234" s="2" t="s">
        <v>685</v>
      </c>
      <c r="B234" t="str">
        <f t="shared" si="6"/>
        <v>03</v>
      </c>
      <c r="C234" t="str">
        <f t="shared" si="7"/>
        <v>2A</v>
      </c>
      <c r="D234" t="str">
        <f>VLOOKUP(B234,Vocabulary!B:D,2,TRUE)</f>
        <v>GO/WALK/RIDE/STEP/ENTE/EXIT/RUN/CROS/SWIM/JUMP*</v>
      </c>
      <c r="E234" t="str">
        <f>VLOOKUP(C234,Vocabulary!B:D,3,TRUE)</f>
        <v>PLAT*</v>
      </c>
    </row>
    <row r="235" spans="1:5" x14ac:dyDescent="0.2">
      <c r="A235" s="2" t="s">
        <v>686</v>
      </c>
      <c r="B235" t="str">
        <f t="shared" si="6"/>
        <v>06</v>
      </c>
      <c r="C235" t="str">
        <f t="shared" si="7"/>
        <v>30</v>
      </c>
      <c r="D235" t="str">
        <f>VLOOKUP(B235,Vocabulary!B:D,2,TRUE)</f>
        <v>EXAM/LOOK/INSP/SEAR/VIEW/SEE/READ*</v>
      </c>
      <c r="E235" t="str">
        <f>VLOOKUP(C235,Vocabulary!B:D,3,TRUE)</f>
        <v>PANE/CONT*</v>
      </c>
    </row>
    <row r="236" spans="1:5" x14ac:dyDescent="0.2">
      <c r="A236" s="2" t="s">
        <v>687</v>
      </c>
      <c r="B236" t="str">
        <f t="shared" si="6"/>
        <v>06</v>
      </c>
      <c r="C236" t="str">
        <f t="shared" si="7"/>
        <v>0F</v>
      </c>
      <c r="D236" t="str">
        <f>VLOOKUP(B236,Vocabulary!B:D,2,TRUE)</f>
        <v>EXAM/LOOK/INSP/SEAR/VIEW/SEE/READ*</v>
      </c>
      <c r="E236" t="str">
        <f>VLOOKUP(C236,Vocabulary!B:D,3,TRUE)</f>
        <v>DEVI*</v>
      </c>
    </row>
    <row r="237" spans="1:5" x14ac:dyDescent="0.2">
      <c r="A237" s="2" t="s">
        <v>688</v>
      </c>
      <c r="B237" t="str">
        <f t="shared" si="6"/>
        <v>06</v>
      </c>
      <c r="C237" t="str">
        <f t="shared" si="7"/>
        <v>0F</v>
      </c>
      <c r="D237" t="str">
        <f>VLOOKUP(B237,Vocabulary!B:D,2,TRUE)</f>
        <v>EXAM/LOOK/INSP/SEAR/VIEW/SEE/READ*</v>
      </c>
      <c r="E237" t="str">
        <f>VLOOKUP(C237,Vocabulary!B:D,3,TRUE)</f>
        <v>DEVI*</v>
      </c>
    </row>
    <row r="238" spans="1:5" x14ac:dyDescent="0.2">
      <c r="A238" s="2" t="s">
        <v>689</v>
      </c>
      <c r="B238" t="str">
        <f t="shared" si="6"/>
        <v>06</v>
      </c>
      <c r="C238" t="str">
        <f t="shared" si="7"/>
        <v>0F</v>
      </c>
      <c r="D238" t="str">
        <f>VLOOKUP(B238,Vocabulary!B:D,2,TRUE)</f>
        <v>EXAM/LOOK/INSP/SEAR/VIEW/SEE/READ*</v>
      </c>
      <c r="E238" t="str">
        <f>VLOOKUP(C238,Vocabulary!B:D,3,TRUE)</f>
        <v>DEVI*</v>
      </c>
    </row>
    <row r="239" spans="1:5" x14ac:dyDescent="0.2">
      <c r="A239" s="2" t="s">
        <v>690</v>
      </c>
      <c r="B239" t="str">
        <f t="shared" si="6"/>
        <v>06</v>
      </c>
      <c r="C239" t="str">
        <f t="shared" si="7"/>
        <v>0F</v>
      </c>
      <c r="D239" t="str">
        <f>VLOOKUP(B239,Vocabulary!B:D,2,TRUE)</f>
        <v>EXAM/LOOK/INSP/SEAR/VIEW/SEE/READ*</v>
      </c>
      <c r="E239" t="str">
        <f>VLOOKUP(C239,Vocabulary!B:D,3,TRUE)</f>
        <v>DEVI*</v>
      </c>
    </row>
    <row r="240" spans="1:5" x14ac:dyDescent="0.2">
      <c r="A240" s="2" t="s">
        <v>691</v>
      </c>
      <c r="B240" t="str">
        <f t="shared" si="6"/>
        <v>06</v>
      </c>
      <c r="C240" t="str">
        <f t="shared" si="7"/>
        <v>0F</v>
      </c>
      <c r="D240" t="str">
        <f>VLOOKUP(B240,Vocabulary!B:D,2,TRUE)</f>
        <v>EXAM/LOOK/INSP/SEAR/VIEW/SEE/READ*</v>
      </c>
      <c r="E240" t="str">
        <f>VLOOKUP(C240,Vocabulary!B:D,3,TRUE)</f>
        <v>DEVI*</v>
      </c>
    </row>
    <row r="241" spans="1:5" x14ac:dyDescent="0.2">
      <c r="A241" s="2" t="s">
        <v>692</v>
      </c>
      <c r="B241" t="str">
        <f t="shared" si="6"/>
        <v>06</v>
      </c>
      <c r="C241" t="str">
        <f t="shared" si="7"/>
        <v>0F</v>
      </c>
      <c r="D241" t="str">
        <f>VLOOKUP(B241,Vocabulary!B:D,2,TRUE)</f>
        <v>EXAM/LOOK/INSP/SEAR/VIEW/SEE/READ*</v>
      </c>
      <c r="E241" t="str">
        <f>VLOOKUP(C241,Vocabulary!B:D,3,TRUE)</f>
        <v>DEVI*</v>
      </c>
    </row>
    <row r="242" spans="1:5" x14ac:dyDescent="0.2">
      <c r="A242" s="2" t="s">
        <v>693</v>
      </c>
      <c r="B242" t="str">
        <f t="shared" si="6"/>
        <v>06</v>
      </c>
      <c r="C242" t="str">
        <f t="shared" si="7"/>
        <v>0F</v>
      </c>
      <c r="D242" t="str">
        <f>VLOOKUP(B242,Vocabulary!B:D,2,TRUE)</f>
        <v>EXAM/LOOK/INSP/SEAR/VIEW/SEE/READ*</v>
      </c>
      <c r="E242" t="str">
        <f>VLOOKUP(C242,Vocabulary!B:D,3,TRUE)</f>
        <v>DEVI*</v>
      </c>
    </row>
    <row r="243" spans="1:5" x14ac:dyDescent="0.2">
      <c r="A243" s="2" t="s">
        <v>694</v>
      </c>
      <c r="B243" t="str">
        <f t="shared" si="6"/>
        <v>06</v>
      </c>
      <c r="C243" t="str">
        <f t="shared" si="7"/>
        <v>0F</v>
      </c>
      <c r="D243" t="str">
        <f>VLOOKUP(B243,Vocabulary!B:D,2,TRUE)</f>
        <v>EXAM/LOOK/INSP/SEAR/VIEW/SEE/READ*</v>
      </c>
      <c r="E243" t="str">
        <f>VLOOKUP(C243,Vocabulary!B:D,3,TRUE)</f>
        <v>DEVI*</v>
      </c>
    </row>
    <row r="244" spans="1:5" x14ac:dyDescent="0.2">
      <c r="A244" s="2" t="s">
        <v>695</v>
      </c>
      <c r="B244" t="str">
        <f t="shared" si="6"/>
        <v>06</v>
      </c>
      <c r="C244" t="str">
        <f t="shared" si="7"/>
        <v>0F</v>
      </c>
      <c r="D244" t="str">
        <f>VLOOKUP(B244,Vocabulary!B:D,2,TRUE)</f>
        <v>EXAM/LOOK/INSP/SEAR/VIEW/SEE/READ*</v>
      </c>
      <c r="E244" t="str">
        <f>VLOOKUP(C244,Vocabulary!B:D,3,TRUE)</f>
        <v>DEVI*</v>
      </c>
    </row>
    <row r="245" spans="1:5" x14ac:dyDescent="0.2">
      <c r="A245" s="2" t="s">
        <v>622</v>
      </c>
      <c r="B245" t="str">
        <f t="shared" si="6"/>
        <v>12</v>
      </c>
      <c r="C245" t="str">
        <f t="shared" si="7"/>
        <v>28</v>
      </c>
      <c r="D245" t="str">
        <f>VLOOKUP(B245,Vocabulary!B:D,2,TRUE)</f>
        <v>TURN*</v>
      </c>
      <c r="E245" t="str">
        <f>VLOOKUP(C245,Vocabulary!B:D,3,TRUE)</f>
        <v>RED*</v>
      </c>
    </row>
    <row r="246" spans="1:5" x14ac:dyDescent="0.2">
      <c r="A246" s="2" t="s">
        <v>696</v>
      </c>
      <c r="B246" t="str">
        <f t="shared" si="6"/>
        <v>14</v>
      </c>
      <c r="C246" t="str">
        <f t="shared" si="7"/>
        <v>1D</v>
      </c>
      <c r="D246" t="str">
        <f>VLOOKUP(B246,Vocabulary!B:D,2,TRUE)</f>
        <v>CLOS/SHUT/SEAL/COVE*</v>
      </c>
      <c r="E246" t="str">
        <f>VLOOKUP(C246,Vocabulary!B:D,3,TRUE)</f>
        <v>CANI*</v>
      </c>
    </row>
    <row r="247" spans="1:5" x14ac:dyDescent="0.2">
      <c r="A247" s="2" t="s">
        <v>697</v>
      </c>
      <c r="B247" t="str">
        <f t="shared" si="6"/>
        <v>10</v>
      </c>
      <c r="C247" t="str">
        <f t="shared" si="7"/>
        <v>14</v>
      </c>
      <c r="D247" t="str">
        <f>VLOOKUP(B247,Vocabulary!B:D,2,TRUE)</f>
        <v>INSE*</v>
      </c>
      <c r="E247" t="str">
        <f>VLOOKUP(C247,Vocabulary!B:D,3,TRUE)</f>
        <v>TOKE/COIN*</v>
      </c>
    </row>
    <row r="248" spans="1:5" x14ac:dyDescent="0.2">
      <c r="A248" s="2" t="s">
        <v>698</v>
      </c>
      <c r="B248" t="str">
        <f t="shared" si="6"/>
        <v>10</v>
      </c>
      <c r="C248" t="str">
        <f t="shared" si="7"/>
        <v>14</v>
      </c>
      <c r="D248" t="str">
        <f>VLOOKUP(B248,Vocabulary!B:D,2,TRUE)</f>
        <v>INSE*</v>
      </c>
      <c r="E248" t="str">
        <f>VLOOKUP(C248,Vocabulary!B:D,3,TRUE)</f>
        <v>TOKE/COIN*</v>
      </c>
    </row>
    <row r="249" spans="1:5" x14ac:dyDescent="0.2">
      <c r="A249" s="2" t="s">
        <v>699</v>
      </c>
      <c r="B249" t="str">
        <f t="shared" si="6"/>
        <v>10</v>
      </c>
      <c r="C249" t="str">
        <f t="shared" si="7"/>
        <v>29</v>
      </c>
      <c r="D249" t="str">
        <f>VLOOKUP(B249,Vocabulary!B:D,2,TRUE)</f>
        <v>INSE*</v>
      </c>
      <c r="E249" t="str">
        <f>VLOOKUP(C249,Vocabulary!B:D,3,TRUE)</f>
        <v>YELL*</v>
      </c>
    </row>
    <row r="250" spans="1:5" x14ac:dyDescent="0.2">
      <c r="A250" s="2" t="s">
        <v>700</v>
      </c>
      <c r="B250" t="str">
        <f t="shared" si="6"/>
        <v>06</v>
      </c>
      <c r="C250" t="str">
        <f t="shared" si="7"/>
        <v>1D</v>
      </c>
      <c r="D250" t="str">
        <f>VLOOKUP(B250,Vocabulary!B:D,2,TRUE)</f>
        <v>EXAM/LOOK/INSP/SEAR/VIEW/SEE/READ*</v>
      </c>
      <c r="E250" t="str">
        <f>VLOOKUP(C250,Vocabulary!B:D,3,TRUE)</f>
        <v>CANI*</v>
      </c>
    </row>
    <row r="251" spans="1:5" x14ac:dyDescent="0.2">
      <c r="A251" s="2" t="s">
        <v>701</v>
      </c>
      <c r="B251" t="str">
        <f t="shared" si="6"/>
        <v>0B</v>
      </c>
      <c r="C251" t="str">
        <f t="shared" si="7"/>
        <v>25</v>
      </c>
      <c r="D251" t="str">
        <f>VLOOKUP(B251,Vocabulary!B:D,2,TRUE)</f>
        <v>PUSH/PRES/SHOV*</v>
      </c>
      <c r="E251" t="str">
        <f>VLOOKUP(C251,Vocabulary!B:D,3,TRUE)</f>
        <v>2*</v>
      </c>
    </row>
    <row r="252" spans="1:5" x14ac:dyDescent="0.2">
      <c r="A252" s="2" t="s">
        <v>701</v>
      </c>
      <c r="B252" t="str">
        <f t="shared" si="6"/>
        <v>0B</v>
      </c>
      <c r="C252" t="str">
        <f t="shared" si="7"/>
        <v>25</v>
      </c>
      <c r="D252" t="str">
        <f>VLOOKUP(B252,Vocabulary!B:D,2,TRUE)</f>
        <v>PUSH/PRES/SHOV*</v>
      </c>
      <c r="E252" t="str">
        <f>VLOOKUP(C252,Vocabulary!B:D,3,TRUE)</f>
        <v>2*</v>
      </c>
    </row>
    <row r="253" spans="1:5" x14ac:dyDescent="0.2">
      <c r="A253" s="2" t="s">
        <v>702</v>
      </c>
      <c r="B253" t="str">
        <f t="shared" si="6"/>
        <v>0B</v>
      </c>
      <c r="C253" t="str">
        <f t="shared" si="7"/>
        <v>26</v>
      </c>
      <c r="D253" t="str">
        <f>VLOOKUP(B253,Vocabulary!B:D,2,TRUE)</f>
        <v>PUSH/PRES/SHOV*</v>
      </c>
      <c r="E253" t="str">
        <f>VLOOKUP(C253,Vocabulary!B:D,3,TRUE)</f>
        <v>3*</v>
      </c>
    </row>
    <row r="254" spans="1:5" x14ac:dyDescent="0.2">
      <c r="A254" s="2" t="s">
        <v>702</v>
      </c>
      <c r="B254" t="str">
        <f t="shared" si="6"/>
        <v>0B</v>
      </c>
      <c r="C254" t="str">
        <f t="shared" si="7"/>
        <v>26</v>
      </c>
      <c r="D254" t="str">
        <f>VLOOKUP(B254,Vocabulary!B:D,2,TRUE)</f>
        <v>PUSH/PRES/SHOV*</v>
      </c>
      <c r="E254" t="str">
        <f>VLOOKUP(C254,Vocabulary!B:D,3,TRUE)</f>
        <v>3*</v>
      </c>
    </row>
    <row r="255" spans="1:5" x14ac:dyDescent="0.2">
      <c r="A255" s="2" t="s">
        <v>701</v>
      </c>
      <c r="B255" t="str">
        <f t="shared" si="6"/>
        <v>0B</v>
      </c>
      <c r="C255" t="str">
        <f t="shared" si="7"/>
        <v>25</v>
      </c>
      <c r="D255" t="str">
        <f>VLOOKUP(B255,Vocabulary!B:D,2,TRUE)</f>
        <v>PUSH/PRES/SHOV*</v>
      </c>
      <c r="E255" t="str">
        <f>VLOOKUP(C255,Vocabulary!B:D,3,TRUE)</f>
        <v>2*</v>
      </c>
    </row>
    <row r="256" spans="1:5" x14ac:dyDescent="0.2">
      <c r="A256" s="2" t="s">
        <v>702</v>
      </c>
      <c r="B256" t="str">
        <f t="shared" si="6"/>
        <v>0B</v>
      </c>
      <c r="C256" t="str">
        <f t="shared" si="7"/>
        <v>26</v>
      </c>
      <c r="D256" t="str">
        <f>VLOOKUP(B256,Vocabulary!B:D,2,TRUE)</f>
        <v>PUSH/PRES/SHOV*</v>
      </c>
      <c r="E256" t="str">
        <f>VLOOKUP(C256,Vocabulary!B:D,3,TRUE)</f>
        <v>3*</v>
      </c>
    </row>
    <row r="257" spans="1:5" x14ac:dyDescent="0.2">
      <c r="A257" s="2" t="s">
        <v>701</v>
      </c>
      <c r="B257" t="str">
        <f t="shared" si="6"/>
        <v>0B</v>
      </c>
      <c r="C257" t="str">
        <f t="shared" si="7"/>
        <v>25</v>
      </c>
      <c r="D257" t="str">
        <f>VLOOKUP(B257,Vocabulary!B:D,2,TRUE)</f>
        <v>PUSH/PRES/SHOV*</v>
      </c>
      <c r="E257" t="str">
        <f>VLOOKUP(C257,Vocabulary!B:D,3,TRUE)</f>
        <v>2*</v>
      </c>
    </row>
    <row r="258" spans="1:5" x14ac:dyDescent="0.2">
      <c r="A258" s="2" t="s">
        <v>702</v>
      </c>
      <c r="B258" t="str">
        <f t="shared" si="6"/>
        <v>0B</v>
      </c>
      <c r="C258" t="str">
        <f t="shared" si="7"/>
        <v>26</v>
      </c>
      <c r="D258" t="str">
        <f>VLOOKUP(B258,Vocabulary!B:D,2,TRUE)</f>
        <v>PUSH/PRES/SHOV*</v>
      </c>
      <c r="E258" t="str">
        <f>VLOOKUP(C258,Vocabulary!B:D,3,TRUE)</f>
        <v>3*</v>
      </c>
    </row>
    <row r="259" spans="1:5" x14ac:dyDescent="0.2">
      <c r="A259" s="2" t="s">
        <v>703</v>
      </c>
      <c r="B259" t="str">
        <f t="shared" ref="B259:B322" si="8">LEFT(A259,2)</f>
        <v>0B</v>
      </c>
      <c r="C259" t="str">
        <f t="shared" ref="C259:C322" si="9">MID(A259,3,2)</f>
        <v>25</v>
      </c>
      <c r="D259" t="str">
        <f>VLOOKUP(B259,Vocabulary!B:D,2,TRUE)</f>
        <v>PUSH/PRES/SHOV*</v>
      </c>
      <c r="E259" t="str">
        <f>VLOOKUP(C259,Vocabulary!B:D,3,TRUE)</f>
        <v>2*</v>
      </c>
    </row>
    <row r="260" spans="1:5" x14ac:dyDescent="0.2">
      <c r="A260" s="2" t="s">
        <v>704</v>
      </c>
      <c r="B260" t="str">
        <f t="shared" si="8"/>
        <v>0B</v>
      </c>
      <c r="C260" t="str">
        <f t="shared" si="9"/>
        <v>26</v>
      </c>
      <c r="D260" t="str">
        <f>VLOOKUP(B260,Vocabulary!B:D,2,TRUE)</f>
        <v>PUSH/PRES/SHOV*</v>
      </c>
      <c r="E260" t="str">
        <f>VLOOKUP(C260,Vocabulary!B:D,3,TRUE)</f>
        <v>3*</v>
      </c>
    </row>
    <row r="261" spans="1:5" x14ac:dyDescent="0.2">
      <c r="A261" s="2" t="s">
        <v>705</v>
      </c>
      <c r="B261" t="str">
        <f t="shared" si="8"/>
        <v>01</v>
      </c>
      <c r="C261" t="str">
        <f t="shared" si="9"/>
        <v>0E</v>
      </c>
      <c r="D261" t="str">
        <f>VLOOKUP(B261,Vocabulary!B:D,2,TRUE)</f>
        <v>GET/TAKE/GRAB/HOLD/CARR/FETC*</v>
      </c>
      <c r="E261" t="str">
        <f>VLOOKUP(C261,Vocabulary!B:D,3,TRUE)</f>
        <v>ROBO*</v>
      </c>
    </row>
    <row r="262" spans="1:5" x14ac:dyDescent="0.2">
      <c r="A262" s="2" t="s">
        <v>706</v>
      </c>
      <c r="B262" t="str">
        <f t="shared" si="8"/>
        <v>06</v>
      </c>
      <c r="C262" t="str">
        <f t="shared" si="9"/>
        <v>30</v>
      </c>
      <c r="D262" t="str">
        <f>VLOOKUP(B262,Vocabulary!B:D,2,TRUE)</f>
        <v>EXAM/LOOK/INSP/SEAR/VIEW/SEE/READ*</v>
      </c>
      <c r="E262" t="str">
        <f>VLOOKUP(C262,Vocabulary!B:D,3,TRUE)</f>
        <v>PANE/CONT*</v>
      </c>
    </row>
    <row r="263" spans="1:5" x14ac:dyDescent="0.2">
      <c r="A263" s="2" t="s">
        <v>707</v>
      </c>
      <c r="B263" t="str">
        <f t="shared" si="8"/>
        <v>01</v>
      </c>
      <c r="C263" t="str">
        <f t="shared" si="9"/>
        <v>0E</v>
      </c>
      <c r="D263" t="str">
        <f>VLOOKUP(B263,Vocabulary!B:D,2,TRUE)</f>
        <v>GET/TAKE/GRAB/HOLD/CARR/FETC*</v>
      </c>
      <c r="E263" t="str">
        <f>VLOOKUP(C263,Vocabulary!B:D,3,TRUE)</f>
        <v>ROBO*</v>
      </c>
    </row>
    <row r="264" spans="1:5" x14ac:dyDescent="0.2">
      <c r="A264" s="2" t="s">
        <v>708</v>
      </c>
      <c r="B264" t="str">
        <f t="shared" si="8"/>
        <v>01</v>
      </c>
      <c r="C264" t="str">
        <f t="shared" si="9"/>
        <v>0E</v>
      </c>
      <c r="D264" t="str">
        <f>VLOOKUP(B264,Vocabulary!B:D,2,TRUE)</f>
        <v>GET/TAKE/GRAB/HOLD/CARR/FETC*</v>
      </c>
      <c r="E264" t="str">
        <f>VLOOKUP(C264,Vocabulary!B:D,3,TRUE)</f>
        <v>ROBO*</v>
      </c>
    </row>
    <row r="265" spans="1:5" x14ac:dyDescent="0.2">
      <c r="A265" s="2" t="s">
        <v>709</v>
      </c>
      <c r="B265" t="str">
        <f t="shared" si="8"/>
        <v>01</v>
      </c>
      <c r="C265" t="str">
        <f t="shared" si="9"/>
        <v>0E</v>
      </c>
      <c r="D265" t="str">
        <f>VLOOKUP(B265,Vocabulary!B:D,2,TRUE)</f>
        <v>GET/TAKE/GRAB/HOLD/CARR/FETC*</v>
      </c>
      <c r="E265" t="str">
        <f>VLOOKUP(C265,Vocabulary!B:D,3,TRUE)</f>
        <v>ROBO*</v>
      </c>
    </row>
    <row r="266" spans="1:5" x14ac:dyDescent="0.2">
      <c r="A266" s="2" t="s">
        <v>710</v>
      </c>
      <c r="B266" t="str">
        <f t="shared" si="8"/>
        <v>01</v>
      </c>
      <c r="C266" t="str">
        <f t="shared" si="9"/>
        <v>0E</v>
      </c>
      <c r="D266" t="str">
        <f>VLOOKUP(B266,Vocabulary!B:D,2,TRUE)</f>
        <v>GET/TAKE/GRAB/HOLD/CARR/FETC*</v>
      </c>
      <c r="E266" t="str">
        <f>VLOOKUP(C266,Vocabulary!B:D,3,TRUE)</f>
        <v>ROBO*</v>
      </c>
    </row>
    <row r="267" spans="1:5" x14ac:dyDescent="0.2">
      <c r="A267" s="2" t="s">
        <v>711</v>
      </c>
      <c r="B267" t="str">
        <f t="shared" si="8"/>
        <v>01</v>
      </c>
      <c r="C267" t="str">
        <f t="shared" si="9"/>
        <v>0E</v>
      </c>
      <c r="D267" t="str">
        <f>VLOOKUP(B267,Vocabulary!B:D,2,TRUE)</f>
        <v>GET/TAKE/GRAB/HOLD/CARR/FETC*</v>
      </c>
      <c r="E267" t="str">
        <f>VLOOKUP(C267,Vocabulary!B:D,3,TRUE)</f>
        <v>ROBO*</v>
      </c>
    </row>
    <row r="268" spans="1:5" x14ac:dyDescent="0.2">
      <c r="A268" s="2" t="s">
        <v>712</v>
      </c>
      <c r="B268" t="str">
        <f t="shared" si="8"/>
        <v>10</v>
      </c>
      <c r="C268" t="str">
        <f t="shared" si="9"/>
        <v>1C</v>
      </c>
      <c r="D268" t="str">
        <f>VLOOKUP(B268,Vocabulary!B:D,2,TRUE)</f>
        <v>INSE*</v>
      </c>
      <c r="E268" t="str">
        <f>VLOOKUP(C268,Vocabulary!B:D,3,TRUE)</f>
        <v>CARD*</v>
      </c>
    </row>
    <row r="269" spans="1:5" x14ac:dyDescent="0.2">
      <c r="A269" s="2" t="s">
        <v>713</v>
      </c>
      <c r="B269" t="str">
        <f t="shared" si="8"/>
        <v>10</v>
      </c>
      <c r="C269" t="str">
        <f t="shared" si="9"/>
        <v>28</v>
      </c>
      <c r="D269" t="str">
        <f>VLOOKUP(B269,Vocabulary!B:D,2,TRUE)</f>
        <v>INSE*</v>
      </c>
      <c r="E269" t="str">
        <f>VLOOKUP(C269,Vocabulary!B:D,3,TRUE)</f>
        <v>RED*</v>
      </c>
    </row>
    <row r="270" spans="1:5" x14ac:dyDescent="0.2">
      <c r="A270" s="2" t="s">
        <v>714</v>
      </c>
      <c r="B270" t="str">
        <f t="shared" si="8"/>
        <v>10</v>
      </c>
      <c r="C270" t="str">
        <f t="shared" si="9"/>
        <v>27</v>
      </c>
      <c r="D270" t="str">
        <f>VLOOKUP(B270,Vocabulary!B:D,2,TRUE)</f>
        <v>INSE*</v>
      </c>
      <c r="E270" t="str">
        <f>VLOOKUP(C270,Vocabulary!B:D,3,TRUE)</f>
        <v>GREE*</v>
      </c>
    </row>
    <row r="271" spans="1:5" x14ac:dyDescent="0.2">
      <c r="A271" s="2" t="s">
        <v>715</v>
      </c>
      <c r="B271" t="str">
        <f t="shared" si="8"/>
        <v>10</v>
      </c>
      <c r="C271" t="str">
        <f t="shared" si="9"/>
        <v>29</v>
      </c>
      <c r="D271" t="str">
        <f>VLOOKUP(B271,Vocabulary!B:D,2,TRUE)</f>
        <v>INSE*</v>
      </c>
      <c r="E271" t="str">
        <f>VLOOKUP(C271,Vocabulary!B:D,3,TRUE)</f>
        <v>YELL*</v>
      </c>
    </row>
    <row r="272" spans="1:5" x14ac:dyDescent="0.2">
      <c r="A272" s="2" t="s">
        <v>716</v>
      </c>
      <c r="B272" t="str">
        <f t="shared" si="8"/>
        <v>10</v>
      </c>
      <c r="C272" t="str">
        <f t="shared" si="9"/>
        <v>14</v>
      </c>
      <c r="D272" t="str">
        <f>VLOOKUP(B272,Vocabulary!B:D,2,TRUE)</f>
        <v>INSE*</v>
      </c>
      <c r="E272" t="str">
        <f>VLOOKUP(C272,Vocabulary!B:D,3,TRUE)</f>
        <v>TOKE/COIN*</v>
      </c>
    </row>
    <row r="273" spans="1:5" x14ac:dyDescent="0.2">
      <c r="A273" s="2" t="s">
        <v>717</v>
      </c>
      <c r="B273" t="str">
        <f t="shared" si="8"/>
        <v>10</v>
      </c>
      <c r="C273" t="str">
        <f t="shared" si="9"/>
        <v>14</v>
      </c>
      <c r="D273" t="str">
        <f>VLOOKUP(B273,Vocabulary!B:D,2,TRUE)</f>
        <v>INSE*</v>
      </c>
      <c r="E273" t="str">
        <f>VLOOKUP(C273,Vocabulary!B:D,3,TRUE)</f>
        <v>TOKE/COIN*</v>
      </c>
    </row>
    <row r="274" spans="1:5" x14ac:dyDescent="0.2">
      <c r="A274" s="2" t="s">
        <v>718</v>
      </c>
      <c r="B274" t="str">
        <f t="shared" si="8"/>
        <v>1A</v>
      </c>
      <c r="C274" t="str">
        <f t="shared" si="9"/>
        <v>1C</v>
      </c>
      <c r="D274" t="str">
        <f>VLOOKUP(B274,Vocabulary!B:D,2,TRUE)</f>
        <v>UNSC/REMO*</v>
      </c>
      <c r="E274" t="str">
        <f>VLOOKUP(C274,Vocabulary!B:D,3,TRUE)</f>
        <v>CARD*</v>
      </c>
    </row>
    <row r="275" spans="1:5" x14ac:dyDescent="0.2">
      <c r="A275" s="2" t="s">
        <v>719</v>
      </c>
      <c r="B275" t="str">
        <f t="shared" si="8"/>
        <v>1A</v>
      </c>
      <c r="C275" t="str">
        <f t="shared" si="9"/>
        <v>1C</v>
      </c>
      <c r="D275" t="str">
        <f>VLOOKUP(B275,Vocabulary!B:D,2,TRUE)</f>
        <v>UNSC/REMO*</v>
      </c>
      <c r="E275" t="str">
        <f>VLOOKUP(C275,Vocabulary!B:D,3,TRUE)</f>
        <v>CARD*</v>
      </c>
    </row>
    <row r="276" spans="1:5" x14ac:dyDescent="0.2">
      <c r="A276" s="2" t="s">
        <v>720</v>
      </c>
      <c r="B276" t="str">
        <f t="shared" si="8"/>
        <v>1A</v>
      </c>
      <c r="C276" t="str">
        <f t="shared" si="9"/>
        <v>1C</v>
      </c>
      <c r="D276" t="str">
        <f>VLOOKUP(B276,Vocabulary!B:D,2,TRUE)</f>
        <v>UNSC/REMO*</v>
      </c>
      <c r="E276" t="str">
        <f>VLOOKUP(C276,Vocabulary!B:D,3,TRUE)</f>
        <v>CARD*</v>
      </c>
    </row>
    <row r="277" spans="1:5" x14ac:dyDescent="0.2">
      <c r="A277" s="2" t="s">
        <v>721</v>
      </c>
      <c r="B277" t="str">
        <f t="shared" si="8"/>
        <v>06</v>
      </c>
      <c r="C277" t="str">
        <f t="shared" si="9"/>
        <v>30</v>
      </c>
      <c r="D277" t="str">
        <f>VLOOKUP(B277,Vocabulary!B:D,2,TRUE)</f>
        <v>EXAM/LOOK/INSP/SEAR/VIEW/SEE/READ*</v>
      </c>
      <c r="E277" t="str">
        <f>VLOOKUP(C277,Vocabulary!B:D,3,TRUE)</f>
        <v>PANE/CONT*</v>
      </c>
    </row>
    <row r="278" spans="1:5" x14ac:dyDescent="0.2">
      <c r="A278" s="2" t="s">
        <v>722</v>
      </c>
      <c r="B278" t="str">
        <f t="shared" si="8"/>
        <v>06</v>
      </c>
      <c r="C278" t="str">
        <f t="shared" si="9"/>
        <v>30</v>
      </c>
      <c r="D278" t="str">
        <f>VLOOKUP(B278,Vocabulary!B:D,2,TRUE)</f>
        <v>EXAM/LOOK/INSP/SEAR/VIEW/SEE/READ*</v>
      </c>
      <c r="E278" t="str">
        <f>VLOOKUP(C278,Vocabulary!B:D,3,TRUE)</f>
        <v>PANE/CONT*</v>
      </c>
    </row>
    <row r="279" spans="1:5" x14ac:dyDescent="0.2">
      <c r="A279" s="2" t="s">
        <v>723</v>
      </c>
      <c r="B279" t="str">
        <f t="shared" si="8"/>
        <v>06</v>
      </c>
      <c r="C279" t="str">
        <f t="shared" si="9"/>
        <v>30</v>
      </c>
      <c r="D279" t="str">
        <f>VLOOKUP(B279,Vocabulary!B:D,2,TRUE)</f>
        <v>EXAM/LOOK/INSP/SEAR/VIEW/SEE/READ*</v>
      </c>
      <c r="E279" t="str">
        <f>VLOOKUP(C279,Vocabulary!B:D,3,TRUE)</f>
        <v>PANE/CONT*</v>
      </c>
    </row>
    <row r="280" spans="1:5" x14ac:dyDescent="0.2">
      <c r="A280" s="2" t="s">
        <v>724</v>
      </c>
      <c r="B280" t="str">
        <f t="shared" si="8"/>
        <v>06</v>
      </c>
      <c r="C280" t="str">
        <f t="shared" si="9"/>
        <v>30</v>
      </c>
      <c r="D280" t="str">
        <f>VLOOKUP(B280,Vocabulary!B:D,2,TRUE)</f>
        <v>EXAM/LOOK/INSP/SEAR/VIEW/SEE/READ*</v>
      </c>
      <c r="E280" t="str">
        <f>VLOOKUP(C280,Vocabulary!B:D,3,TRUE)</f>
        <v>PANE/CONT*</v>
      </c>
    </row>
    <row r="281" spans="1:5" x14ac:dyDescent="0.2">
      <c r="A281" s="2" t="s">
        <v>725</v>
      </c>
      <c r="B281" t="str">
        <f t="shared" si="8"/>
        <v>0B</v>
      </c>
      <c r="C281" t="str">
        <f t="shared" si="9"/>
        <v>24</v>
      </c>
      <c r="D281" t="str">
        <f>VLOOKUP(B281,Vocabulary!B:D,2,TRUE)</f>
        <v>PUSH/PRES/SHOV*</v>
      </c>
      <c r="E281" t="str">
        <f>VLOOKUP(C281,Vocabulary!B:D,3,TRUE)</f>
        <v>1*</v>
      </c>
    </row>
    <row r="282" spans="1:5" x14ac:dyDescent="0.2">
      <c r="A282" s="2" t="s">
        <v>726</v>
      </c>
      <c r="B282" t="str">
        <f t="shared" si="8"/>
        <v>0B</v>
      </c>
      <c r="C282" t="str">
        <f t="shared" si="9"/>
        <v>25</v>
      </c>
      <c r="D282" t="str">
        <f>VLOOKUP(B282,Vocabulary!B:D,2,TRUE)</f>
        <v>PUSH/PRES/SHOV*</v>
      </c>
      <c r="E282" t="str">
        <f>VLOOKUP(C282,Vocabulary!B:D,3,TRUE)</f>
        <v>2*</v>
      </c>
    </row>
    <row r="283" spans="1:5" x14ac:dyDescent="0.2">
      <c r="A283" s="2" t="s">
        <v>725</v>
      </c>
      <c r="B283" t="str">
        <f t="shared" si="8"/>
        <v>0B</v>
      </c>
      <c r="C283" t="str">
        <f t="shared" si="9"/>
        <v>24</v>
      </c>
      <c r="D283" t="str">
        <f>VLOOKUP(B283,Vocabulary!B:D,2,TRUE)</f>
        <v>PUSH/PRES/SHOV*</v>
      </c>
      <c r="E283" t="str">
        <f>VLOOKUP(C283,Vocabulary!B:D,3,TRUE)</f>
        <v>1*</v>
      </c>
    </row>
    <row r="284" spans="1:5" x14ac:dyDescent="0.2">
      <c r="A284" s="2" t="s">
        <v>726</v>
      </c>
      <c r="B284" t="str">
        <f t="shared" si="8"/>
        <v>0B</v>
      </c>
      <c r="C284" t="str">
        <f t="shared" si="9"/>
        <v>25</v>
      </c>
      <c r="D284" t="str">
        <f>VLOOKUP(B284,Vocabulary!B:D,2,TRUE)</f>
        <v>PUSH/PRES/SHOV*</v>
      </c>
      <c r="E284" t="str">
        <f>VLOOKUP(C284,Vocabulary!B:D,3,TRUE)</f>
        <v>2*</v>
      </c>
    </row>
    <row r="285" spans="1:5" x14ac:dyDescent="0.2">
      <c r="A285" s="2" t="s">
        <v>725</v>
      </c>
      <c r="B285" t="str">
        <f t="shared" si="8"/>
        <v>0B</v>
      </c>
      <c r="C285" t="str">
        <f t="shared" si="9"/>
        <v>24</v>
      </c>
      <c r="D285" t="str">
        <f>VLOOKUP(B285,Vocabulary!B:D,2,TRUE)</f>
        <v>PUSH/PRES/SHOV*</v>
      </c>
      <c r="E285" t="str">
        <f>VLOOKUP(C285,Vocabulary!B:D,3,TRUE)</f>
        <v>1*</v>
      </c>
    </row>
    <row r="286" spans="1:5" x14ac:dyDescent="0.2">
      <c r="A286" s="2" t="s">
        <v>726</v>
      </c>
      <c r="B286" t="str">
        <f t="shared" si="8"/>
        <v>0B</v>
      </c>
      <c r="C286" t="str">
        <f t="shared" si="9"/>
        <v>25</v>
      </c>
      <c r="D286" t="str">
        <f>VLOOKUP(B286,Vocabulary!B:D,2,TRUE)</f>
        <v>PUSH/PRES/SHOV*</v>
      </c>
      <c r="E286" t="str">
        <f>VLOOKUP(C286,Vocabulary!B:D,3,TRUE)</f>
        <v>2*</v>
      </c>
    </row>
    <row r="287" spans="1:5" x14ac:dyDescent="0.2">
      <c r="A287" s="2" t="s">
        <v>725</v>
      </c>
      <c r="B287" t="str">
        <f t="shared" si="8"/>
        <v>0B</v>
      </c>
      <c r="C287" t="str">
        <f t="shared" si="9"/>
        <v>24</v>
      </c>
      <c r="D287" t="str">
        <f>VLOOKUP(B287,Vocabulary!B:D,2,TRUE)</f>
        <v>PUSH/PRES/SHOV*</v>
      </c>
      <c r="E287" t="str">
        <f>VLOOKUP(C287,Vocabulary!B:D,3,TRUE)</f>
        <v>1*</v>
      </c>
    </row>
    <row r="288" spans="1:5" x14ac:dyDescent="0.2">
      <c r="A288" s="2" t="s">
        <v>726</v>
      </c>
      <c r="B288" t="str">
        <f t="shared" si="8"/>
        <v>0B</v>
      </c>
      <c r="C288" t="str">
        <f t="shared" si="9"/>
        <v>25</v>
      </c>
      <c r="D288" t="str">
        <f>VLOOKUP(B288,Vocabulary!B:D,2,TRUE)</f>
        <v>PUSH/PRES/SHOV*</v>
      </c>
      <c r="E288" t="str">
        <f>VLOOKUP(C288,Vocabulary!B:D,3,TRUE)</f>
        <v>2*</v>
      </c>
    </row>
    <row r="289" spans="1:5" x14ac:dyDescent="0.2">
      <c r="A289" s="2" t="s">
        <v>727</v>
      </c>
      <c r="B289" t="str">
        <f t="shared" si="8"/>
        <v>0B</v>
      </c>
      <c r="C289" t="str">
        <f t="shared" si="9"/>
        <v>24</v>
      </c>
      <c r="D289" t="str">
        <f>VLOOKUP(B289,Vocabulary!B:D,2,TRUE)</f>
        <v>PUSH/PRES/SHOV*</v>
      </c>
      <c r="E289" t="str">
        <f>VLOOKUP(C289,Vocabulary!B:D,3,TRUE)</f>
        <v>1*</v>
      </c>
    </row>
    <row r="290" spans="1:5" x14ac:dyDescent="0.2">
      <c r="A290" s="2" t="s">
        <v>728</v>
      </c>
      <c r="B290" t="str">
        <f t="shared" si="8"/>
        <v>0B</v>
      </c>
      <c r="C290" t="str">
        <f t="shared" si="9"/>
        <v>25</v>
      </c>
      <c r="D290" t="str">
        <f>VLOOKUP(B290,Vocabulary!B:D,2,TRUE)</f>
        <v>PUSH/PRES/SHOV*</v>
      </c>
      <c r="E290" t="str">
        <f>VLOOKUP(C290,Vocabulary!B:D,3,TRUE)</f>
        <v>2*</v>
      </c>
    </row>
    <row r="291" spans="1:5" x14ac:dyDescent="0.2">
      <c r="A291" s="2" t="s">
        <v>729</v>
      </c>
      <c r="B291" t="str">
        <f t="shared" si="8"/>
        <v>0B</v>
      </c>
      <c r="C291" t="str">
        <f t="shared" si="9"/>
        <v>24</v>
      </c>
      <c r="D291" t="str">
        <f>VLOOKUP(B291,Vocabulary!B:D,2,TRUE)</f>
        <v>PUSH/PRES/SHOV*</v>
      </c>
      <c r="E291" t="str">
        <f>VLOOKUP(C291,Vocabulary!B:D,3,TRUE)</f>
        <v>1*</v>
      </c>
    </row>
    <row r="292" spans="1:5" x14ac:dyDescent="0.2">
      <c r="A292" s="2" t="s">
        <v>730</v>
      </c>
      <c r="B292" t="str">
        <f t="shared" si="8"/>
        <v>0B</v>
      </c>
      <c r="C292" t="str">
        <f t="shared" si="9"/>
        <v>26</v>
      </c>
      <c r="D292" t="str">
        <f>VLOOKUP(B292,Vocabulary!B:D,2,TRUE)</f>
        <v>PUSH/PRES/SHOV*</v>
      </c>
      <c r="E292" t="str">
        <f>VLOOKUP(C292,Vocabulary!B:D,3,TRUE)</f>
        <v>3*</v>
      </c>
    </row>
    <row r="293" spans="1:5" x14ac:dyDescent="0.2">
      <c r="A293" s="2" t="s">
        <v>731</v>
      </c>
      <c r="B293" t="str">
        <f t="shared" si="8"/>
        <v>0B</v>
      </c>
      <c r="C293" t="str">
        <f t="shared" si="9"/>
        <v>24</v>
      </c>
      <c r="D293" t="str">
        <f>VLOOKUP(B293,Vocabulary!B:D,2,TRUE)</f>
        <v>PUSH/PRES/SHOV*</v>
      </c>
      <c r="E293" t="str">
        <f>VLOOKUP(C293,Vocabulary!B:D,3,TRUE)</f>
        <v>1*</v>
      </c>
    </row>
    <row r="294" spans="1:5" x14ac:dyDescent="0.2">
      <c r="A294" s="2" t="s">
        <v>732</v>
      </c>
      <c r="B294" t="str">
        <f t="shared" si="8"/>
        <v>0B</v>
      </c>
      <c r="C294" t="str">
        <f t="shared" si="9"/>
        <v>26</v>
      </c>
      <c r="D294" t="str">
        <f>VLOOKUP(B294,Vocabulary!B:D,2,TRUE)</f>
        <v>PUSH/PRES/SHOV*</v>
      </c>
      <c r="E294" t="str">
        <f>VLOOKUP(C294,Vocabulary!B:D,3,TRUE)</f>
        <v>3*</v>
      </c>
    </row>
    <row r="295" spans="1:5" x14ac:dyDescent="0.2">
      <c r="A295" s="2" t="s">
        <v>733</v>
      </c>
      <c r="B295" t="str">
        <f t="shared" si="8"/>
        <v>03</v>
      </c>
      <c r="C295" t="str">
        <f t="shared" si="9"/>
        <v>2A</v>
      </c>
      <c r="D295" t="str">
        <f>VLOOKUP(B295,Vocabulary!B:D,2,TRUE)</f>
        <v>GO/WALK/RIDE/STEP/ENTE/EXIT/RUN/CROS/SWIM/JUMP*</v>
      </c>
      <c r="E295" t="str">
        <f>VLOOKUP(C295,Vocabulary!B:D,3,TRUE)</f>
        <v>PLAT*</v>
      </c>
    </row>
    <row r="296" spans="1:5" x14ac:dyDescent="0.2">
      <c r="A296" s="2" t="s">
        <v>734</v>
      </c>
      <c r="B296" t="str">
        <f t="shared" si="8"/>
        <v>03</v>
      </c>
      <c r="C296" t="str">
        <f t="shared" si="9"/>
        <v>2A</v>
      </c>
      <c r="D296" t="str">
        <f>VLOOKUP(B296,Vocabulary!B:D,2,TRUE)</f>
        <v>GO/WALK/RIDE/STEP/ENTE/EXIT/RUN/CROS/SWIM/JUMP*</v>
      </c>
      <c r="E296" t="str">
        <f>VLOOKUP(C296,Vocabulary!B:D,3,TRUE)</f>
        <v>PLAT*</v>
      </c>
    </row>
    <row r="297" spans="1:5" x14ac:dyDescent="0.2">
      <c r="A297" s="2" t="s">
        <v>735</v>
      </c>
      <c r="B297" t="str">
        <f t="shared" si="8"/>
        <v>10</v>
      </c>
      <c r="C297" t="str">
        <f t="shared" si="9"/>
        <v>1C</v>
      </c>
      <c r="D297" t="str">
        <f>VLOOKUP(B297,Vocabulary!B:D,2,TRUE)</f>
        <v>INSE*</v>
      </c>
      <c r="E297" t="str">
        <f>VLOOKUP(C297,Vocabulary!B:D,3,TRUE)</f>
        <v>CARD*</v>
      </c>
    </row>
    <row r="298" spans="1:5" x14ac:dyDescent="0.2">
      <c r="A298" s="2" t="s">
        <v>736</v>
      </c>
      <c r="B298" t="str">
        <f t="shared" si="8"/>
        <v>10</v>
      </c>
      <c r="C298" t="str">
        <f t="shared" si="9"/>
        <v>1C</v>
      </c>
      <c r="D298" t="str">
        <f>VLOOKUP(B298,Vocabulary!B:D,2,TRUE)</f>
        <v>INSE*</v>
      </c>
      <c r="E298" t="str">
        <f>VLOOKUP(C298,Vocabulary!B:D,3,TRUE)</f>
        <v>CARD*</v>
      </c>
    </row>
    <row r="299" spans="1:5" x14ac:dyDescent="0.2">
      <c r="A299" s="2" t="s">
        <v>737</v>
      </c>
      <c r="B299" t="str">
        <f t="shared" si="8"/>
        <v>01</v>
      </c>
      <c r="C299" t="str">
        <f t="shared" si="9"/>
        <v>1C</v>
      </c>
      <c r="D299" t="str">
        <f>VLOOKUP(B299,Vocabulary!B:D,2,TRUE)</f>
        <v>GET/TAKE/GRAB/HOLD/CARR/FETC*</v>
      </c>
      <c r="E299" t="str">
        <f>VLOOKUP(C299,Vocabulary!B:D,3,TRUE)</f>
        <v>CARD*</v>
      </c>
    </row>
    <row r="300" spans="1:5" x14ac:dyDescent="0.2">
      <c r="A300" s="2" t="s">
        <v>738</v>
      </c>
      <c r="B300" t="str">
        <f t="shared" si="8"/>
        <v>02</v>
      </c>
      <c r="C300" t="str">
        <f t="shared" si="9"/>
        <v>1C</v>
      </c>
      <c r="D300" t="str">
        <f>VLOOKUP(B300,Vocabulary!B:D,2,TRUE)</f>
        <v>DROP/PUT*</v>
      </c>
      <c r="E300" t="str">
        <f>VLOOKUP(C300,Vocabulary!B:D,3,TRUE)</f>
        <v>CARD*</v>
      </c>
    </row>
    <row r="301" spans="1:5" x14ac:dyDescent="0.2">
      <c r="A301" s="2" t="s">
        <v>739</v>
      </c>
      <c r="B301" t="str">
        <f t="shared" si="8"/>
        <v>06</v>
      </c>
      <c r="C301" t="str">
        <f t="shared" si="9"/>
        <v>0E</v>
      </c>
      <c r="D301" t="str">
        <f>VLOOKUP(B301,Vocabulary!B:D,2,TRUE)</f>
        <v>EXAM/LOOK/INSP/SEAR/VIEW/SEE/READ*</v>
      </c>
      <c r="E301" t="str">
        <f>VLOOKUP(C301,Vocabulary!B:D,3,TRUE)</f>
        <v>ROBO*</v>
      </c>
    </row>
    <row r="302" spans="1:5" x14ac:dyDescent="0.2">
      <c r="A302" s="2" t="s">
        <v>739</v>
      </c>
      <c r="B302" t="str">
        <f t="shared" si="8"/>
        <v>06</v>
      </c>
      <c r="C302" t="str">
        <f t="shared" si="9"/>
        <v>0E</v>
      </c>
      <c r="D302" t="str">
        <f>VLOOKUP(B302,Vocabulary!B:D,2,TRUE)</f>
        <v>EXAM/LOOK/INSP/SEAR/VIEW/SEE/READ*</v>
      </c>
      <c r="E302" t="str">
        <f>VLOOKUP(C302,Vocabulary!B:D,3,TRUE)</f>
        <v>ROBO*</v>
      </c>
    </row>
    <row r="303" spans="1:5" x14ac:dyDescent="0.2">
      <c r="A303" s="2" t="s">
        <v>740</v>
      </c>
      <c r="B303" t="str">
        <f t="shared" si="8"/>
        <v>06</v>
      </c>
      <c r="C303" t="str">
        <f t="shared" si="9"/>
        <v>0E</v>
      </c>
      <c r="D303" t="str">
        <f>VLOOKUP(B303,Vocabulary!B:D,2,TRUE)</f>
        <v>EXAM/LOOK/INSP/SEAR/VIEW/SEE/READ*</v>
      </c>
      <c r="E303" t="str">
        <f>VLOOKUP(C303,Vocabulary!B:D,3,TRUE)</f>
        <v>ROBO*</v>
      </c>
    </row>
    <row r="304" spans="1:5" x14ac:dyDescent="0.2">
      <c r="A304" s="2" t="s">
        <v>741</v>
      </c>
      <c r="B304" t="str">
        <f t="shared" si="8"/>
        <v>06</v>
      </c>
      <c r="C304" t="str">
        <f t="shared" si="9"/>
        <v>0E</v>
      </c>
      <c r="D304" t="str">
        <f>VLOOKUP(B304,Vocabulary!B:D,2,TRUE)</f>
        <v>EXAM/LOOK/INSP/SEAR/VIEW/SEE/READ*</v>
      </c>
      <c r="E304" t="str">
        <f>VLOOKUP(C304,Vocabulary!B:D,3,TRUE)</f>
        <v>ROBO*</v>
      </c>
    </row>
    <row r="305" spans="1:5" x14ac:dyDescent="0.2">
      <c r="A305" s="2" t="s">
        <v>742</v>
      </c>
      <c r="B305" t="str">
        <f t="shared" si="8"/>
        <v>06</v>
      </c>
      <c r="C305" t="str">
        <f t="shared" si="9"/>
        <v>01</v>
      </c>
      <c r="D305" t="str">
        <f>VLOOKUP(B305,Vocabulary!B:D,2,TRUE)</f>
        <v>EXAM/LOOK/INSP/SEAR/VIEW/SEE/READ*</v>
      </c>
      <c r="E305" t="str">
        <f>VLOOKUP(C305,Vocabulary!B:D,3,TRUE)</f>
        <v>ANY*</v>
      </c>
    </row>
    <row r="306" spans="1:5" x14ac:dyDescent="0.2">
      <c r="A306" s="2" t="s">
        <v>743</v>
      </c>
      <c r="B306" t="str">
        <f t="shared" si="8"/>
        <v>13</v>
      </c>
      <c r="C306" t="str">
        <f t="shared" si="9"/>
        <v>2C</v>
      </c>
      <c r="D306" t="str">
        <f>VLOOKUP(B306,Vocabulary!B:D,2,TRUE)</f>
        <v>OPEN/UNLO/UNCO*</v>
      </c>
      <c r="E306" t="str">
        <f>VLOOKUP(C306,Vocabulary!B:D,3,TRUE)</f>
        <v>VENT*</v>
      </c>
    </row>
    <row r="307" spans="1:5" x14ac:dyDescent="0.2">
      <c r="A307" s="2" t="s">
        <v>744</v>
      </c>
      <c r="B307" t="str">
        <f t="shared" si="8"/>
        <v>09</v>
      </c>
      <c r="C307" t="str">
        <f t="shared" si="9"/>
        <v>2B</v>
      </c>
      <c r="D307" t="str">
        <f>VLOOKUP(B307,Vocabulary!B:D,2,TRUE)</f>
        <v>USE/WITH*</v>
      </c>
      <c r="E307" t="str">
        <f>VLOOKUP(C307,Vocabulary!B:D,3,TRUE)</f>
        <v>SCRE*</v>
      </c>
    </row>
    <row r="308" spans="1:5" x14ac:dyDescent="0.2">
      <c r="A308" s="2" t="s">
        <v>745</v>
      </c>
      <c r="B308" t="str">
        <f t="shared" si="8"/>
        <v>1A</v>
      </c>
      <c r="C308" t="str">
        <f t="shared" si="9"/>
        <v>2C</v>
      </c>
      <c r="D308" t="str">
        <f>VLOOKUP(B308,Vocabulary!B:D,2,TRUE)</f>
        <v>UNSC/REMO*</v>
      </c>
      <c r="E308" t="str">
        <f>VLOOKUP(C308,Vocabulary!B:D,3,TRUE)</f>
        <v>VENT*</v>
      </c>
    </row>
    <row r="309" spans="1:5" x14ac:dyDescent="0.2">
      <c r="A309" s="2" t="s">
        <v>746</v>
      </c>
      <c r="B309" t="str">
        <f t="shared" si="8"/>
        <v>06</v>
      </c>
      <c r="C309" t="str">
        <f t="shared" si="9"/>
        <v>2C</v>
      </c>
      <c r="D309" t="str">
        <f>VLOOKUP(B309,Vocabulary!B:D,2,TRUE)</f>
        <v>EXAM/LOOK/INSP/SEAR/VIEW/SEE/READ*</v>
      </c>
      <c r="E309" t="str">
        <f>VLOOKUP(C309,Vocabulary!B:D,3,TRUE)</f>
        <v>VENT*</v>
      </c>
    </row>
    <row r="310" spans="1:5" x14ac:dyDescent="0.2">
      <c r="A310" s="2" t="s">
        <v>747</v>
      </c>
      <c r="B310" t="str">
        <f t="shared" si="8"/>
        <v>03</v>
      </c>
      <c r="C310" t="str">
        <f t="shared" si="9"/>
        <v>2C</v>
      </c>
      <c r="D310" t="str">
        <f>VLOOKUP(B310,Vocabulary!B:D,2,TRUE)</f>
        <v>GO/WALK/RIDE/STEP/ENTE/EXIT/RUN/CROS/SWIM/JUMP*</v>
      </c>
      <c r="E310" t="str">
        <f>VLOOKUP(C310,Vocabulary!B:D,3,TRUE)</f>
        <v>VENT*</v>
      </c>
    </row>
    <row r="311" spans="1:5" x14ac:dyDescent="0.2">
      <c r="A311" s="2" t="s">
        <v>748</v>
      </c>
      <c r="B311" t="str">
        <f t="shared" si="8"/>
        <v>19</v>
      </c>
      <c r="C311" t="str">
        <f t="shared" si="9"/>
        <v>01</v>
      </c>
      <c r="D311" t="str">
        <f>VLOOKUP(B311,Vocabulary!B:D,2,TRUE)</f>
        <v>CRAW*</v>
      </c>
      <c r="E311" t="str">
        <f>VLOOKUP(C311,Vocabulary!B:D,3,TRUE)</f>
        <v>ANY*</v>
      </c>
    </row>
    <row r="312" spans="1:5" x14ac:dyDescent="0.2">
      <c r="A312" s="2" t="s">
        <v>749</v>
      </c>
      <c r="B312" t="str">
        <f t="shared" si="8"/>
        <v>19</v>
      </c>
      <c r="C312" t="str">
        <f t="shared" si="9"/>
        <v>01</v>
      </c>
      <c r="D312" t="str">
        <f>VLOOKUP(B312,Vocabulary!B:D,2,TRUE)</f>
        <v>CRAW*</v>
      </c>
      <c r="E312" t="str">
        <f>VLOOKUP(C312,Vocabulary!B:D,3,TRUE)</f>
        <v>ANY*</v>
      </c>
    </row>
    <row r="313" spans="1:5" x14ac:dyDescent="0.2">
      <c r="A313" s="2" t="s">
        <v>750</v>
      </c>
      <c r="B313" t="str">
        <f t="shared" si="8"/>
        <v>03</v>
      </c>
      <c r="C313" t="str">
        <f t="shared" si="9"/>
        <v>0A</v>
      </c>
      <c r="D313" t="str">
        <f>VLOOKUP(B313,Vocabulary!B:D,2,TRUE)</f>
        <v>GO/WALK/RIDE/STEP/ENTE/EXIT/RUN/CROS/SWIM/JUMP*</v>
      </c>
      <c r="E313" t="str">
        <f>VLOOKUP(C313,Vocabulary!B:D,3,TRUE)</f>
        <v>OPEN/HOLE*</v>
      </c>
    </row>
    <row r="314" spans="1:5" x14ac:dyDescent="0.2">
      <c r="A314" s="2" t="s">
        <v>751</v>
      </c>
      <c r="B314" t="str">
        <f t="shared" si="8"/>
        <v>03</v>
      </c>
      <c r="C314" t="str">
        <f t="shared" si="9"/>
        <v>0A</v>
      </c>
      <c r="D314" t="str">
        <f>VLOOKUP(B314,Vocabulary!B:D,2,TRUE)</f>
        <v>GO/WALK/RIDE/STEP/ENTE/EXIT/RUN/CROS/SWIM/JUMP*</v>
      </c>
      <c r="E314" t="str">
        <f>VLOOKUP(C314,Vocabulary!B:D,3,TRUE)</f>
        <v>OPEN/HOLE*</v>
      </c>
    </row>
    <row r="315" spans="1:5" x14ac:dyDescent="0.2">
      <c r="A315" s="2" t="s">
        <v>752</v>
      </c>
      <c r="B315" t="str">
        <f t="shared" si="8"/>
        <v>03</v>
      </c>
      <c r="C315" t="str">
        <f t="shared" si="9"/>
        <v>2C</v>
      </c>
      <c r="D315" t="str">
        <f>VLOOKUP(B315,Vocabulary!B:D,2,TRUE)</f>
        <v>GO/WALK/RIDE/STEP/ENTE/EXIT/RUN/CROS/SWIM/JUMP*</v>
      </c>
      <c r="E315" t="str">
        <f>VLOOKUP(C315,Vocabulary!B:D,3,TRUE)</f>
        <v>VENT*</v>
      </c>
    </row>
    <row r="316" spans="1:5" x14ac:dyDescent="0.2">
      <c r="A316" s="2" t="s">
        <v>753</v>
      </c>
      <c r="B316" t="str">
        <f t="shared" si="8"/>
        <v>14</v>
      </c>
      <c r="C316" t="str">
        <f t="shared" si="9"/>
        <v>2C</v>
      </c>
      <c r="D316" t="str">
        <f>VLOOKUP(B316,Vocabulary!B:D,2,TRUE)</f>
        <v>CLOS/SHUT/SEAL/COVE*</v>
      </c>
      <c r="E316" t="str">
        <f>VLOOKUP(C316,Vocabulary!B:D,3,TRUE)</f>
        <v>VENT*</v>
      </c>
    </row>
    <row r="317" spans="1:5" x14ac:dyDescent="0.2">
      <c r="A317" s="2" t="s">
        <v>754</v>
      </c>
      <c r="B317" t="str">
        <f t="shared" si="8"/>
        <v>14</v>
      </c>
      <c r="C317" t="str">
        <f t="shared" si="9"/>
        <v>2C</v>
      </c>
      <c r="D317" t="str">
        <f>VLOOKUP(B317,Vocabulary!B:D,2,TRUE)</f>
        <v>CLOS/SHUT/SEAL/COVE*</v>
      </c>
      <c r="E317" t="str">
        <f>VLOOKUP(C317,Vocabulary!B:D,3,TRUE)</f>
        <v>VENT*</v>
      </c>
    </row>
    <row r="318" spans="1:5" x14ac:dyDescent="0.2">
      <c r="A318" s="2" t="s">
        <v>755</v>
      </c>
      <c r="B318" t="str">
        <f t="shared" si="8"/>
        <v>06</v>
      </c>
      <c r="C318" t="str">
        <f t="shared" si="9"/>
        <v>30</v>
      </c>
      <c r="D318" t="str">
        <f>VLOOKUP(B318,Vocabulary!B:D,2,TRUE)</f>
        <v>EXAM/LOOK/INSP/SEAR/VIEW/SEE/READ*</v>
      </c>
      <c r="E318" t="str">
        <f>VLOOKUP(C318,Vocabulary!B:D,3,TRUE)</f>
        <v>PANE/CONT*</v>
      </c>
    </row>
    <row r="319" spans="1:5" x14ac:dyDescent="0.2">
      <c r="A319" s="2" t="s">
        <v>756</v>
      </c>
      <c r="B319" t="str">
        <f t="shared" si="8"/>
        <v>06</v>
      </c>
      <c r="C319" t="str">
        <f t="shared" si="9"/>
        <v>30</v>
      </c>
      <c r="D319" t="str">
        <f>VLOOKUP(B319,Vocabulary!B:D,2,TRUE)</f>
        <v>EXAM/LOOK/INSP/SEAR/VIEW/SEE/READ*</v>
      </c>
      <c r="E319" t="str">
        <f>VLOOKUP(C319,Vocabulary!B:D,3,TRUE)</f>
        <v>PANE/CONT*</v>
      </c>
    </row>
    <row r="320" spans="1:5" x14ac:dyDescent="0.2">
      <c r="A320" s="2" t="s">
        <v>757</v>
      </c>
      <c r="B320" t="str">
        <f t="shared" si="8"/>
        <v>0B</v>
      </c>
      <c r="C320" t="str">
        <f t="shared" si="9"/>
        <v>28</v>
      </c>
      <c r="D320" t="str">
        <f>VLOOKUP(B320,Vocabulary!B:D,2,TRUE)</f>
        <v>PUSH/PRES/SHOV*</v>
      </c>
      <c r="E320" t="str">
        <f>VLOOKUP(C320,Vocabulary!B:D,3,TRUE)</f>
        <v>RED*</v>
      </c>
    </row>
    <row r="321" spans="1:5" x14ac:dyDescent="0.2">
      <c r="A321" s="2" t="s">
        <v>758</v>
      </c>
      <c r="B321" t="str">
        <f t="shared" si="8"/>
        <v>0B</v>
      </c>
      <c r="C321" t="str">
        <f t="shared" si="9"/>
        <v>28</v>
      </c>
      <c r="D321" t="str">
        <f>VLOOKUP(B321,Vocabulary!B:D,2,TRUE)</f>
        <v>PUSH/PRES/SHOV*</v>
      </c>
      <c r="E321" t="str">
        <f>VLOOKUP(C321,Vocabulary!B:D,3,TRUE)</f>
        <v>RED*</v>
      </c>
    </row>
    <row r="322" spans="1:5" x14ac:dyDescent="0.2">
      <c r="A322" s="2" t="s">
        <v>759</v>
      </c>
      <c r="B322" t="str">
        <f t="shared" si="8"/>
        <v>1A</v>
      </c>
      <c r="C322" t="str">
        <f t="shared" si="9"/>
        <v>27</v>
      </c>
      <c r="D322" t="str">
        <f>VLOOKUP(B322,Vocabulary!B:D,2,TRUE)</f>
        <v>UNSC/REMO*</v>
      </c>
      <c r="E322" t="str">
        <f>VLOOKUP(C322,Vocabulary!B:D,3,TRUE)</f>
        <v>GREE*</v>
      </c>
    </row>
    <row r="323" spans="1:5" x14ac:dyDescent="0.2">
      <c r="A323" s="2" t="s">
        <v>760</v>
      </c>
      <c r="B323" t="str">
        <f t="shared" ref="B323:B386" si="10">LEFT(A323,2)</f>
        <v>10</v>
      </c>
      <c r="C323" t="str">
        <f t="shared" ref="C323:C386" si="11">MID(A323,3,2)</f>
        <v>27</v>
      </c>
      <c r="D323" t="str">
        <f>VLOOKUP(B323,Vocabulary!B:D,2,TRUE)</f>
        <v>INSE*</v>
      </c>
      <c r="E323" t="str">
        <f>VLOOKUP(C323,Vocabulary!B:D,3,TRUE)</f>
        <v>GREE*</v>
      </c>
    </row>
    <row r="324" spans="1:5" x14ac:dyDescent="0.2">
      <c r="A324" s="2" t="s">
        <v>761</v>
      </c>
      <c r="B324" t="str">
        <f t="shared" si="10"/>
        <v>12</v>
      </c>
      <c r="C324" t="str">
        <f t="shared" si="11"/>
        <v>27</v>
      </c>
      <c r="D324" t="str">
        <f>VLOOKUP(B324,Vocabulary!B:D,2,TRUE)</f>
        <v>TURN*</v>
      </c>
      <c r="E324" t="str">
        <f>VLOOKUP(C324,Vocabulary!B:D,3,TRUE)</f>
        <v>GREE*</v>
      </c>
    </row>
    <row r="325" spans="1:5" x14ac:dyDescent="0.2">
      <c r="A325" s="2" t="s">
        <v>762</v>
      </c>
      <c r="B325" t="str">
        <f t="shared" si="10"/>
        <v>06</v>
      </c>
      <c r="C325" t="str">
        <f t="shared" si="11"/>
        <v>0C</v>
      </c>
      <c r="D325" t="str">
        <f>VLOOKUP(B325,Vocabulary!B:D,2,TRUE)</f>
        <v>EXAM/LOOK/INSP/SEAR/VIEW/SEE/READ*</v>
      </c>
      <c r="E325" t="str">
        <f>VLOOKUP(C325,Vocabulary!B:D,3,TRUE)</f>
        <v>LIGH/BEAM*</v>
      </c>
    </row>
    <row r="326" spans="1:5" x14ac:dyDescent="0.2">
      <c r="A326" s="2" t="s">
        <v>763</v>
      </c>
      <c r="B326" t="str">
        <f t="shared" si="10"/>
        <v>03</v>
      </c>
      <c r="C326" t="str">
        <f t="shared" si="11"/>
        <v>08</v>
      </c>
      <c r="D326" t="str">
        <f>VLOOKUP(B326,Vocabulary!B:D,2,TRUE)</f>
        <v>GO/WALK/RIDE/STEP/ENTE/EXIT/RUN/CROS/SWIM/JUMP*</v>
      </c>
      <c r="E326" t="str">
        <f>VLOOKUP(C326,Vocabulary!B:D,3,TRUE)</f>
        <v>DOOR*</v>
      </c>
    </row>
    <row r="327" spans="1:5" x14ac:dyDescent="0.2">
      <c r="A327" s="2" t="s">
        <v>764</v>
      </c>
      <c r="B327" t="str">
        <f t="shared" si="10"/>
        <v>04</v>
      </c>
      <c r="C327" t="str">
        <f t="shared" si="11"/>
        <v>0C</v>
      </c>
      <c r="D327" t="str">
        <f>VLOOKUP(B327,Vocabulary!B:D,2,TRUE)</f>
        <v>TOUC/FEEL*</v>
      </c>
      <c r="E327" t="str">
        <f>VLOOKUP(C327,Vocabulary!B:D,3,TRUE)</f>
        <v>LIGH/BEAM*</v>
      </c>
    </row>
    <row r="328" spans="1:5" x14ac:dyDescent="0.2">
      <c r="A328" s="2" t="s">
        <v>765</v>
      </c>
      <c r="B328" t="str">
        <f t="shared" si="10"/>
        <v>13</v>
      </c>
      <c r="C328" t="str">
        <f t="shared" si="11"/>
        <v>08</v>
      </c>
      <c r="D328" t="str">
        <f>VLOOKUP(B328,Vocabulary!B:D,2,TRUE)</f>
        <v>OPEN/UNLO/UNCO*</v>
      </c>
      <c r="E328" t="str">
        <f>VLOOKUP(C328,Vocabulary!B:D,3,TRUE)</f>
        <v>DOOR*</v>
      </c>
    </row>
    <row r="329" spans="1:5" x14ac:dyDescent="0.2">
      <c r="A329" s="2" t="s">
        <v>766</v>
      </c>
      <c r="B329" t="str">
        <f t="shared" si="10"/>
        <v>10</v>
      </c>
      <c r="C329" t="str">
        <f t="shared" si="11"/>
        <v>2D</v>
      </c>
      <c r="D329" t="str">
        <f>VLOOKUP(B329,Vocabulary!B:D,2,TRUE)</f>
        <v>INSE*</v>
      </c>
      <c r="E329" t="str">
        <f>VLOOKUP(C329,Vocabulary!B:D,3,TRUE)</f>
        <v>CART*</v>
      </c>
    </row>
    <row r="330" spans="1:5" x14ac:dyDescent="0.2">
      <c r="A330" s="2" t="s">
        <v>767</v>
      </c>
      <c r="B330" t="str">
        <f t="shared" si="10"/>
        <v>01</v>
      </c>
      <c r="C330" t="str">
        <f t="shared" si="11"/>
        <v>1C</v>
      </c>
      <c r="D330" t="str">
        <f>VLOOKUP(B330,Vocabulary!B:D,2,TRUE)</f>
        <v>GET/TAKE/GRAB/HOLD/CARR/FETC*</v>
      </c>
      <c r="E330" t="str">
        <f>VLOOKUP(C330,Vocabulary!B:D,3,TRUE)</f>
        <v>CARD*</v>
      </c>
    </row>
    <row r="331" spans="1:5" x14ac:dyDescent="0.2">
      <c r="A331" s="2" t="s">
        <v>768</v>
      </c>
      <c r="B331" t="str">
        <f t="shared" si="10"/>
        <v>01</v>
      </c>
      <c r="C331" t="str">
        <f t="shared" si="11"/>
        <v>1C</v>
      </c>
      <c r="D331" t="str">
        <f>VLOOKUP(B331,Vocabulary!B:D,2,TRUE)</f>
        <v>GET/TAKE/GRAB/HOLD/CARR/FETC*</v>
      </c>
      <c r="E331" t="str">
        <f>VLOOKUP(C331,Vocabulary!B:D,3,TRUE)</f>
        <v>CARD*</v>
      </c>
    </row>
    <row r="332" spans="1:5" x14ac:dyDescent="0.2">
      <c r="A332" s="2" t="s">
        <v>769</v>
      </c>
      <c r="B332" t="str">
        <f t="shared" si="10"/>
        <v>1A</v>
      </c>
      <c r="C332" t="str">
        <f t="shared" si="11"/>
        <v>2D</v>
      </c>
      <c r="D332" t="str">
        <f>VLOOKUP(B332,Vocabulary!B:D,2,TRUE)</f>
        <v>UNSC/REMO*</v>
      </c>
      <c r="E332" t="str">
        <f>VLOOKUP(C332,Vocabulary!B:D,3,TRUE)</f>
        <v>CART*</v>
      </c>
    </row>
    <row r="333" spans="1:5" x14ac:dyDescent="0.2">
      <c r="A333" s="2" t="s">
        <v>770</v>
      </c>
      <c r="B333" t="str">
        <f t="shared" si="10"/>
        <v>11</v>
      </c>
      <c r="C333" t="str">
        <f t="shared" si="11"/>
        <v>01</v>
      </c>
      <c r="D333" t="str">
        <f>VLOOKUP(B333,Vocabulary!B:D,2,TRUE)</f>
        <v>SHOO/BLAS*</v>
      </c>
      <c r="E333" t="str">
        <f>VLOOKUP(C333,Vocabulary!B:D,3,TRUE)</f>
        <v>ANY*</v>
      </c>
    </row>
    <row r="334" spans="1:5" x14ac:dyDescent="0.2">
      <c r="A334" s="2" t="s">
        <v>771</v>
      </c>
      <c r="B334" t="str">
        <f t="shared" si="10"/>
        <v>11</v>
      </c>
      <c r="C334" t="str">
        <f t="shared" si="11"/>
        <v>0E</v>
      </c>
      <c r="D334" t="str">
        <f>VLOOKUP(B334,Vocabulary!B:D,2,TRUE)</f>
        <v>SHOO/BLAS*</v>
      </c>
      <c r="E334" t="str">
        <f>VLOOKUP(C334,Vocabulary!B:D,3,TRUE)</f>
        <v>ROBO*</v>
      </c>
    </row>
    <row r="335" spans="1:5" x14ac:dyDescent="0.2">
      <c r="A335" s="2" t="s">
        <v>771</v>
      </c>
      <c r="B335" t="str">
        <f t="shared" si="10"/>
        <v>11</v>
      </c>
      <c r="C335" t="str">
        <f t="shared" si="11"/>
        <v>0E</v>
      </c>
      <c r="D335" t="str">
        <f>VLOOKUP(B335,Vocabulary!B:D,2,TRUE)</f>
        <v>SHOO/BLAS*</v>
      </c>
      <c r="E335" t="str">
        <f>VLOOKUP(C335,Vocabulary!B:D,3,TRUE)</f>
        <v>ROBO*</v>
      </c>
    </row>
    <row r="336" spans="1:5" x14ac:dyDescent="0.2">
      <c r="A336" s="2" t="s">
        <v>772</v>
      </c>
      <c r="B336" t="str">
        <f t="shared" si="10"/>
        <v>10</v>
      </c>
      <c r="C336" t="str">
        <f t="shared" si="11"/>
        <v>29</v>
      </c>
      <c r="D336" t="str">
        <f>VLOOKUP(B336,Vocabulary!B:D,2,TRUE)</f>
        <v>INSE*</v>
      </c>
      <c r="E336" t="str">
        <f>VLOOKUP(C336,Vocabulary!B:D,3,TRUE)</f>
        <v>YELL*</v>
      </c>
    </row>
    <row r="337" spans="1:5" x14ac:dyDescent="0.2">
      <c r="A337" s="2" t="s">
        <v>773</v>
      </c>
      <c r="B337" t="str">
        <f t="shared" si="10"/>
        <v>0C</v>
      </c>
      <c r="C337" t="str">
        <f t="shared" si="11"/>
        <v>1A</v>
      </c>
      <c r="D337" t="str">
        <f>VLOOKUP(B337,Vocabulary!B:D,2,TRUE)</f>
        <v>PULL*</v>
      </c>
      <c r="E337" t="str">
        <f>VLOOKUP(C337,Vocabulary!B:D,3,TRUE)</f>
        <v>LEVE*</v>
      </c>
    </row>
    <row r="338" spans="1:5" x14ac:dyDescent="0.2">
      <c r="A338" s="2" t="s">
        <v>774</v>
      </c>
      <c r="B338" t="str">
        <f t="shared" si="10"/>
        <v>1A</v>
      </c>
      <c r="C338" t="str">
        <f t="shared" si="11"/>
        <v>29</v>
      </c>
      <c r="D338" t="str">
        <f>VLOOKUP(B338,Vocabulary!B:D,2,TRUE)</f>
        <v>UNSC/REMO*</v>
      </c>
      <c r="E338" t="str">
        <f>VLOOKUP(C338,Vocabulary!B:D,3,TRUE)</f>
        <v>YELL*</v>
      </c>
    </row>
    <row r="339" spans="1:5" x14ac:dyDescent="0.2">
      <c r="A339" s="2" t="s">
        <v>775</v>
      </c>
      <c r="B339" t="str">
        <f t="shared" si="10"/>
        <v>0B</v>
      </c>
      <c r="C339" t="str">
        <f t="shared" si="11"/>
        <v>1A</v>
      </c>
      <c r="D339" t="str">
        <f>VLOOKUP(B339,Vocabulary!B:D,2,TRUE)</f>
        <v>PUSH/PRES/SHOV*</v>
      </c>
      <c r="E339" t="str">
        <f>VLOOKUP(C339,Vocabulary!B:D,3,TRUE)</f>
        <v>LEVE*</v>
      </c>
    </row>
    <row r="340" spans="1:5" x14ac:dyDescent="0.2">
      <c r="A340" s="2" t="s">
        <v>776</v>
      </c>
      <c r="B340" t="str">
        <f t="shared" si="10"/>
        <v>12</v>
      </c>
      <c r="C340" t="str">
        <f t="shared" si="11"/>
        <v>29</v>
      </c>
      <c r="D340" t="str">
        <f>VLOOKUP(B340,Vocabulary!B:D,2,TRUE)</f>
        <v>TURN*</v>
      </c>
      <c r="E340" t="str">
        <f>VLOOKUP(C340,Vocabulary!B:D,3,TRUE)</f>
        <v>YELL*</v>
      </c>
    </row>
    <row r="341" spans="1:5" x14ac:dyDescent="0.2">
      <c r="A341" s="2" t="s">
        <v>777</v>
      </c>
      <c r="B341" t="str">
        <f t="shared" si="10"/>
        <v>0C</v>
      </c>
      <c r="C341" t="str">
        <f t="shared" si="11"/>
        <v>1A</v>
      </c>
      <c r="D341" t="str">
        <f>VLOOKUP(B341,Vocabulary!B:D,2,TRUE)</f>
        <v>PULL*</v>
      </c>
      <c r="E341" t="str">
        <f>VLOOKUP(C341,Vocabulary!B:D,3,TRUE)</f>
        <v>LEVE*</v>
      </c>
    </row>
    <row r="342" spans="1:5" x14ac:dyDescent="0.2">
      <c r="A342" s="2" t="s">
        <v>778</v>
      </c>
      <c r="B342" t="str">
        <f t="shared" si="10"/>
        <v>0B</v>
      </c>
      <c r="C342" t="str">
        <f t="shared" si="11"/>
        <v>1A</v>
      </c>
      <c r="D342" t="str">
        <f>VLOOKUP(B342,Vocabulary!B:D,2,TRUE)</f>
        <v>PUSH/PRES/SHOV*</v>
      </c>
      <c r="E342" t="str">
        <f>VLOOKUP(C342,Vocabulary!B:D,3,TRUE)</f>
        <v>LEVE*</v>
      </c>
    </row>
    <row r="343" spans="1:5" x14ac:dyDescent="0.2">
      <c r="A343" s="2" t="s">
        <v>779</v>
      </c>
      <c r="B343" t="str">
        <f t="shared" si="10"/>
        <v>03</v>
      </c>
      <c r="C343" t="str">
        <f t="shared" si="11"/>
        <v>38</v>
      </c>
      <c r="D343" t="str">
        <f>VLOOKUP(B343,Vocabulary!B:D,2,TRUE)</f>
        <v>GO/WALK/RIDE/STEP/ENTE/EXIT/RUN/CROS/SWIM/JUMP*</v>
      </c>
      <c r="E343" t="str">
        <f>VLOOKUP(C343,Vocabulary!B:D,3,TRUE)</f>
        <v>ROOM*</v>
      </c>
    </row>
    <row r="344" spans="1:5" x14ac:dyDescent="0.2">
      <c r="A344" s="2" t="s">
        <v>780</v>
      </c>
      <c r="B344" t="str">
        <f t="shared" si="10"/>
        <v>03</v>
      </c>
      <c r="C344" t="str">
        <f t="shared" si="11"/>
        <v>38</v>
      </c>
      <c r="D344" t="str">
        <f>VLOOKUP(B344,Vocabulary!B:D,2,TRUE)</f>
        <v>GO/WALK/RIDE/STEP/ENTE/EXIT/RUN/CROS/SWIM/JUMP*</v>
      </c>
      <c r="E344" t="str">
        <f>VLOOKUP(C344,Vocabulary!B:D,3,TRUE)</f>
        <v>ROOM*</v>
      </c>
    </row>
    <row r="345" spans="1:5" x14ac:dyDescent="0.2">
      <c r="A345" s="2" t="s">
        <v>781</v>
      </c>
      <c r="B345" t="str">
        <f t="shared" si="10"/>
        <v>03</v>
      </c>
      <c r="C345" t="str">
        <f t="shared" si="11"/>
        <v>38</v>
      </c>
      <c r="D345" t="str">
        <f>VLOOKUP(B345,Vocabulary!B:D,2,TRUE)</f>
        <v>GO/WALK/RIDE/STEP/ENTE/EXIT/RUN/CROS/SWIM/JUMP*</v>
      </c>
      <c r="E345" t="str">
        <f>VLOOKUP(C345,Vocabulary!B:D,3,TRUE)</f>
        <v>ROOM*</v>
      </c>
    </row>
    <row r="346" spans="1:5" x14ac:dyDescent="0.2">
      <c r="A346" s="2" t="s">
        <v>782</v>
      </c>
      <c r="B346" t="str">
        <f t="shared" si="10"/>
        <v>03</v>
      </c>
      <c r="C346" t="str">
        <f t="shared" si="11"/>
        <v>0A</v>
      </c>
      <c r="D346" t="str">
        <f>VLOOKUP(B346,Vocabulary!B:D,2,TRUE)</f>
        <v>GO/WALK/RIDE/STEP/ENTE/EXIT/RUN/CROS/SWIM/JUMP*</v>
      </c>
      <c r="E346" t="str">
        <f>VLOOKUP(C346,Vocabulary!B:D,3,TRUE)</f>
        <v>OPEN/HOLE*</v>
      </c>
    </row>
    <row r="347" spans="1:5" x14ac:dyDescent="0.2">
      <c r="A347" s="2" t="s">
        <v>783</v>
      </c>
      <c r="B347" t="str">
        <f t="shared" si="10"/>
        <v>03</v>
      </c>
      <c r="C347" t="str">
        <f t="shared" si="11"/>
        <v>0A</v>
      </c>
      <c r="D347" t="str">
        <f>VLOOKUP(B347,Vocabulary!B:D,2,TRUE)</f>
        <v>GO/WALK/RIDE/STEP/ENTE/EXIT/RUN/CROS/SWIM/JUMP*</v>
      </c>
      <c r="E347" t="str">
        <f>VLOOKUP(C347,Vocabulary!B:D,3,TRUE)</f>
        <v>OPEN/HOLE*</v>
      </c>
    </row>
    <row r="348" spans="1:5" x14ac:dyDescent="0.2">
      <c r="A348" s="2" t="s">
        <v>784</v>
      </c>
      <c r="B348" t="str">
        <f t="shared" si="10"/>
        <v>03</v>
      </c>
      <c r="C348" t="str">
        <f t="shared" si="11"/>
        <v>08</v>
      </c>
      <c r="D348" t="str">
        <f>VLOOKUP(B348,Vocabulary!B:D,2,TRUE)</f>
        <v>GO/WALK/RIDE/STEP/ENTE/EXIT/RUN/CROS/SWIM/JUMP*</v>
      </c>
      <c r="E348" t="str">
        <f>VLOOKUP(C348,Vocabulary!B:D,3,TRUE)</f>
        <v>DOOR*</v>
      </c>
    </row>
    <row r="349" spans="1:5" x14ac:dyDescent="0.2">
      <c r="A349" s="2" t="s">
        <v>785</v>
      </c>
      <c r="B349" t="str">
        <f t="shared" si="10"/>
        <v>13</v>
      </c>
      <c r="C349" t="str">
        <f t="shared" si="11"/>
        <v>08</v>
      </c>
      <c r="D349" t="str">
        <f>VLOOKUP(B349,Vocabulary!B:D,2,TRUE)</f>
        <v>OPEN/UNLO/UNCO*</v>
      </c>
      <c r="E349" t="str">
        <f>VLOOKUP(C349,Vocabulary!B:D,3,TRUE)</f>
        <v>DOOR*</v>
      </c>
    </row>
    <row r="350" spans="1:5" x14ac:dyDescent="0.2">
      <c r="A350" s="2" t="s">
        <v>786</v>
      </c>
      <c r="B350" t="str">
        <f t="shared" si="10"/>
        <v>06</v>
      </c>
      <c r="C350" t="str">
        <f t="shared" si="11"/>
        <v>0C</v>
      </c>
      <c r="D350" t="str">
        <f>VLOOKUP(B350,Vocabulary!B:D,2,TRUE)</f>
        <v>EXAM/LOOK/INSP/SEAR/VIEW/SEE/READ*</v>
      </c>
      <c r="E350" t="str">
        <f>VLOOKUP(C350,Vocabulary!B:D,3,TRUE)</f>
        <v>LIGH/BEAM*</v>
      </c>
    </row>
    <row r="351" spans="1:5" x14ac:dyDescent="0.2">
      <c r="A351" s="2" t="s">
        <v>787</v>
      </c>
      <c r="B351" t="str">
        <f t="shared" si="10"/>
        <v>04</v>
      </c>
      <c r="C351" t="str">
        <f t="shared" si="11"/>
        <v>0C</v>
      </c>
      <c r="D351" t="str">
        <f>VLOOKUP(B351,Vocabulary!B:D,2,TRUE)</f>
        <v>TOUC/FEEL*</v>
      </c>
      <c r="E351" t="str">
        <f>VLOOKUP(C351,Vocabulary!B:D,3,TRUE)</f>
        <v>LIGH/BEAM*</v>
      </c>
    </row>
    <row r="352" spans="1:5" x14ac:dyDescent="0.2">
      <c r="A352" s="2" t="s">
        <v>788</v>
      </c>
      <c r="B352" t="str">
        <f t="shared" si="10"/>
        <v>12</v>
      </c>
      <c r="C352" t="str">
        <f t="shared" si="11"/>
        <v>37</v>
      </c>
      <c r="D352" t="str">
        <f>VLOOKUP(B352,Vocabulary!B:D,2,TRUE)</f>
        <v>TURN*</v>
      </c>
      <c r="E352" t="str">
        <f>VLOOKUP(C352,Vocabulary!B:D,3,TRUE)</f>
        <v>KNOB*</v>
      </c>
    </row>
    <row r="353" spans="1:5" x14ac:dyDescent="0.2">
      <c r="A353" s="2" t="s">
        <v>789</v>
      </c>
      <c r="B353" t="str">
        <f t="shared" si="10"/>
        <v>03</v>
      </c>
      <c r="C353" t="str">
        <f t="shared" si="11"/>
        <v>0A</v>
      </c>
      <c r="D353" t="str">
        <f>VLOOKUP(B353,Vocabulary!B:D,2,TRUE)</f>
        <v>GO/WALK/RIDE/STEP/ENTE/EXIT/RUN/CROS/SWIM/JUMP*</v>
      </c>
      <c r="E353" t="str">
        <f>VLOOKUP(C353,Vocabulary!B:D,3,TRUE)</f>
        <v>OPEN/HOLE*</v>
      </c>
    </row>
    <row r="354" spans="1:5" x14ac:dyDescent="0.2">
      <c r="A354" s="2" t="s">
        <v>790</v>
      </c>
      <c r="B354" t="str">
        <f t="shared" si="10"/>
        <v>03</v>
      </c>
      <c r="C354" t="str">
        <f t="shared" si="11"/>
        <v>0A</v>
      </c>
      <c r="D354" t="str">
        <f>VLOOKUP(B354,Vocabulary!B:D,2,TRUE)</f>
        <v>GO/WALK/RIDE/STEP/ENTE/EXIT/RUN/CROS/SWIM/JUMP*</v>
      </c>
      <c r="E354" t="str">
        <f>VLOOKUP(C354,Vocabulary!B:D,3,TRUE)</f>
        <v>OPEN/HOLE*</v>
      </c>
    </row>
    <row r="355" spans="1:5" x14ac:dyDescent="0.2">
      <c r="A355" s="2" t="s">
        <v>791</v>
      </c>
      <c r="B355" t="str">
        <f t="shared" si="10"/>
        <v>06</v>
      </c>
      <c r="C355" t="str">
        <f t="shared" si="11"/>
        <v>0C</v>
      </c>
      <c r="D355" t="str">
        <f>VLOOKUP(B355,Vocabulary!B:D,2,TRUE)</f>
        <v>EXAM/LOOK/INSP/SEAR/VIEW/SEE/READ*</v>
      </c>
      <c r="E355" t="str">
        <f>VLOOKUP(C355,Vocabulary!B:D,3,TRUE)</f>
        <v>LIGH/BEAM*</v>
      </c>
    </row>
    <row r="356" spans="1:5" x14ac:dyDescent="0.2">
      <c r="A356" s="2" t="s">
        <v>792</v>
      </c>
      <c r="B356" t="str">
        <f t="shared" si="10"/>
        <v>04</v>
      </c>
      <c r="C356" t="str">
        <f t="shared" si="11"/>
        <v>0C</v>
      </c>
      <c r="D356" t="str">
        <f>VLOOKUP(B356,Vocabulary!B:D,2,TRUE)</f>
        <v>TOUC/FEEL*</v>
      </c>
      <c r="E356" t="str">
        <f>VLOOKUP(C356,Vocabulary!B:D,3,TRUE)</f>
        <v>LIGH/BEAM*</v>
      </c>
    </row>
    <row r="357" spans="1:5" x14ac:dyDescent="0.2">
      <c r="A357" s="2" t="s">
        <v>793</v>
      </c>
      <c r="B357" t="str">
        <f t="shared" si="10"/>
        <v>03</v>
      </c>
      <c r="C357" t="str">
        <f t="shared" si="11"/>
        <v>08</v>
      </c>
      <c r="D357" t="str">
        <f>VLOOKUP(B357,Vocabulary!B:D,2,TRUE)</f>
        <v>GO/WALK/RIDE/STEP/ENTE/EXIT/RUN/CROS/SWIM/JUMP*</v>
      </c>
      <c r="E357" t="str">
        <f>VLOOKUP(C357,Vocabulary!B:D,3,TRUE)</f>
        <v>DOOR*</v>
      </c>
    </row>
    <row r="358" spans="1:5" x14ac:dyDescent="0.2">
      <c r="A358" s="2" t="s">
        <v>794</v>
      </c>
      <c r="B358" t="str">
        <f t="shared" si="10"/>
        <v>13</v>
      </c>
      <c r="C358" t="str">
        <f t="shared" si="11"/>
        <v>08</v>
      </c>
      <c r="D358" t="str">
        <f>VLOOKUP(B358,Vocabulary!B:D,2,TRUE)</f>
        <v>OPEN/UNLO/UNCO*</v>
      </c>
      <c r="E358" t="str">
        <f>VLOOKUP(C358,Vocabulary!B:D,3,TRUE)</f>
        <v>DOOR*</v>
      </c>
    </row>
    <row r="359" spans="1:5" x14ac:dyDescent="0.2">
      <c r="A359" s="2" t="s">
        <v>795</v>
      </c>
      <c r="B359" t="str">
        <f t="shared" si="10"/>
        <v>06</v>
      </c>
      <c r="C359" t="str">
        <f t="shared" si="11"/>
        <v>30</v>
      </c>
      <c r="D359" t="str">
        <f>VLOOKUP(B359,Vocabulary!B:D,2,TRUE)</f>
        <v>EXAM/LOOK/INSP/SEAR/VIEW/SEE/READ*</v>
      </c>
      <c r="E359" t="str">
        <f>VLOOKUP(C359,Vocabulary!B:D,3,TRUE)</f>
        <v>PANE/CONT*</v>
      </c>
    </row>
    <row r="360" spans="1:5" x14ac:dyDescent="0.2">
      <c r="A360" s="2" t="s">
        <v>796</v>
      </c>
      <c r="B360" t="str">
        <f t="shared" si="10"/>
        <v>0B</v>
      </c>
      <c r="C360" t="str">
        <f t="shared" si="11"/>
        <v>29</v>
      </c>
      <c r="D360" t="str">
        <f>VLOOKUP(B360,Vocabulary!B:D,2,TRUE)</f>
        <v>PUSH/PRES/SHOV*</v>
      </c>
      <c r="E360" t="str">
        <f>VLOOKUP(C360,Vocabulary!B:D,3,TRUE)</f>
        <v>YELL*</v>
      </c>
    </row>
    <row r="361" spans="1:5" x14ac:dyDescent="0.2">
      <c r="A361" s="2" t="s">
        <v>797</v>
      </c>
      <c r="B361" t="str">
        <f t="shared" si="10"/>
        <v>0C</v>
      </c>
      <c r="C361" t="str">
        <f t="shared" si="11"/>
        <v>1A</v>
      </c>
      <c r="D361" t="str">
        <f>VLOOKUP(B361,Vocabulary!B:D,2,TRUE)</f>
        <v>PULL*</v>
      </c>
      <c r="E361" t="str">
        <f>VLOOKUP(C361,Vocabulary!B:D,3,TRUE)</f>
        <v>LEVE*</v>
      </c>
    </row>
    <row r="362" spans="1:5" x14ac:dyDescent="0.2">
      <c r="A362" s="2" t="s">
        <v>798</v>
      </c>
      <c r="B362" t="str">
        <f t="shared" si="10"/>
        <v>0B</v>
      </c>
      <c r="C362" t="str">
        <f t="shared" si="11"/>
        <v>1A</v>
      </c>
      <c r="D362" t="str">
        <f>VLOOKUP(B362,Vocabulary!B:D,2,TRUE)</f>
        <v>PUSH/PRES/SHOV*</v>
      </c>
      <c r="E362" t="str">
        <f>VLOOKUP(C362,Vocabulary!B:D,3,TRUE)</f>
        <v>LEVE*</v>
      </c>
    </row>
    <row r="363" spans="1:5" x14ac:dyDescent="0.2">
      <c r="A363" s="2" t="s">
        <v>799</v>
      </c>
      <c r="B363" t="str">
        <f t="shared" si="10"/>
        <v>0B</v>
      </c>
      <c r="C363" t="str">
        <f t="shared" si="11"/>
        <v>1A</v>
      </c>
      <c r="D363" t="str">
        <f>VLOOKUP(B363,Vocabulary!B:D,2,TRUE)</f>
        <v>PUSH/PRES/SHOV*</v>
      </c>
      <c r="E363" t="str">
        <f>VLOOKUP(C363,Vocabulary!B:D,3,TRUE)</f>
        <v>LEVE*</v>
      </c>
    </row>
    <row r="364" spans="1:5" x14ac:dyDescent="0.2">
      <c r="A364" s="2" t="s">
        <v>800</v>
      </c>
      <c r="B364" t="str">
        <f t="shared" si="10"/>
        <v>0B</v>
      </c>
      <c r="C364" t="str">
        <f t="shared" si="11"/>
        <v>29</v>
      </c>
      <c r="D364" t="str">
        <f>VLOOKUP(B364,Vocabulary!B:D,2,TRUE)</f>
        <v>PUSH/PRES/SHOV*</v>
      </c>
      <c r="E364" t="str">
        <f>VLOOKUP(C364,Vocabulary!B:D,3,TRUE)</f>
        <v>YELL*</v>
      </c>
    </row>
    <row r="365" spans="1:5" x14ac:dyDescent="0.2">
      <c r="A365" s="2" t="s">
        <v>801</v>
      </c>
      <c r="B365" t="str">
        <f t="shared" si="10"/>
        <v>03</v>
      </c>
      <c r="C365" t="str">
        <f t="shared" si="11"/>
        <v>08</v>
      </c>
      <c r="D365" t="str">
        <f>VLOOKUP(B365,Vocabulary!B:D,2,TRUE)</f>
        <v>GO/WALK/RIDE/STEP/ENTE/EXIT/RUN/CROS/SWIM/JUMP*</v>
      </c>
      <c r="E365" t="str">
        <f>VLOOKUP(C365,Vocabulary!B:D,3,TRUE)</f>
        <v>DOOR*</v>
      </c>
    </row>
    <row r="366" spans="1:5" x14ac:dyDescent="0.2">
      <c r="A366" s="2" t="s">
        <v>802</v>
      </c>
      <c r="B366" t="str">
        <f t="shared" si="10"/>
        <v>03</v>
      </c>
      <c r="C366" t="str">
        <f t="shared" si="11"/>
        <v>08</v>
      </c>
      <c r="D366" t="str">
        <f>VLOOKUP(B366,Vocabulary!B:D,2,TRUE)</f>
        <v>GO/WALK/RIDE/STEP/ENTE/EXIT/RUN/CROS/SWIM/JUMP*</v>
      </c>
      <c r="E366" t="str">
        <f>VLOOKUP(C366,Vocabulary!B:D,3,TRUE)</f>
        <v>DOOR*</v>
      </c>
    </row>
    <row r="367" spans="1:5" x14ac:dyDescent="0.2">
      <c r="A367" s="2" t="s">
        <v>803</v>
      </c>
      <c r="B367" t="str">
        <f t="shared" si="10"/>
        <v>03</v>
      </c>
      <c r="C367" t="str">
        <f t="shared" si="11"/>
        <v>2E</v>
      </c>
      <c r="D367" t="str">
        <f>VLOOKUP(B367,Vocabulary!B:D,2,TRUE)</f>
        <v>GO/WALK/RIDE/STEP/ENTE/EXIT/RUN/CROS/SWIM/JUMP*</v>
      </c>
      <c r="E367" t="str">
        <f>VLOOKUP(C367,Vocabulary!B:D,3,TRUE)</f>
        <v>FORC/FIEL*</v>
      </c>
    </row>
    <row r="368" spans="1:5" x14ac:dyDescent="0.2">
      <c r="A368" s="2" t="s">
        <v>804</v>
      </c>
      <c r="B368" t="str">
        <f t="shared" si="10"/>
        <v>03</v>
      </c>
      <c r="C368" t="str">
        <f t="shared" si="11"/>
        <v>2E</v>
      </c>
      <c r="D368" t="str">
        <f>VLOOKUP(B368,Vocabulary!B:D,2,TRUE)</f>
        <v>GO/WALK/RIDE/STEP/ENTE/EXIT/RUN/CROS/SWIM/JUMP*</v>
      </c>
      <c r="E368" t="str">
        <f>VLOOKUP(C368,Vocabulary!B:D,3,TRUE)</f>
        <v>FORC/FIEL*</v>
      </c>
    </row>
    <row r="369" spans="1:5" x14ac:dyDescent="0.2">
      <c r="A369" s="2" t="s">
        <v>805</v>
      </c>
      <c r="B369" t="str">
        <f t="shared" si="10"/>
        <v>03</v>
      </c>
      <c r="C369" t="str">
        <f t="shared" si="11"/>
        <v>2E</v>
      </c>
      <c r="D369" t="str">
        <f>VLOOKUP(B369,Vocabulary!B:D,2,TRUE)</f>
        <v>GO/WALK/RIDE/STEP/ENTE/EXIT/RUN/CROS/SWIM/JUMP*</v>
      </c>
      <c r="E369" t="str">
        <f>VLOOKUP(C369,Vocabulary!B:D,3,TRUE)</f>
        <v>FORC/FIEL*</v>
      </c>
    </row>
    <row r="370" spans="1:5" x14ac:dyDescent="0.2">
      <c r="A370" s="2" t="s">
        <v>806</v>
      </c>
      <c r="B370" t="str">
        <f t="shared" si="10"/>
        <v>06</v>
      </c>
      <c r="C370" t="str">
        <f t="shared" si="11"/>
        <v>0C</v>
      </c>
      <c r="D370" t="str">
        <f>VLOOKUP(B370,Vocabulary!B:D,2,TRUE)</f>
        <v>EXAM/LOOK/INSP/SEAR/VIEW/SEE/READ*</v>
      </c>
      <c r="E370" t="str">
        <f>VLOOKUP(C370,Vocabulary!B:D,3,TRUE)</f>
        <v>LIGH/BEAM*</v>
      </c>
    </row>
    <row r="371" spans="1:5" x14ac:dyDescent="0.2">
      <c r="A371" s="2" t="s">
        <v>807</v>
      </c>
      <c r="B371" t="str">
        <f t="shared" si="10"/>
        <v>03</v>
      </c>
      <c r="C371" t="str">
        <f t="shared" si="11"/>
        <v>08</v>
      </c>
      <c r="D371" t="str">
        <f>VLOOKUP(B371,Vocabulary!B:D,2,TRUE)</f>
        <v>GO/WALK/RIDE/STEP/ENTE/EXIT/RUN/CROS/SWIM/JUMP*</v>
      </c>
      <c r="E371" t="str">
        <f>VLOOKUP(C371,Vocabulary!B:D,3,TRUE)</f>
        <v>DOOR*</v>
      </c>
    </row>
    <row r="372" spans="1:5" x14ac:dyDescent="0.2">
      <c r="A372" s="2" t="s">
        <v>808</v>
      </c>
      <c r="B372" t="str">
        <f t="shared" si="10"/>
        <v>13</v>
      </c>
      <c r="C372" t="str">
        <f t="shared" si="11"/>
        <v>08</v>
      </c>
      <c r="D372" t="str">
        <f>VLOOKUP(B372,Vocabulary!B:D,2,TRUE)</f>
        <v>OPEN/UNLO/UNCO*</v>
      </c>
      <c r="E372" t="str">
        <f>VLOOKUP(C372,Vocabulary!B:D,3,TRUE)</f>
        <v>DOOR*</v>
      </c>
    </row>
    <row r="373" spans="1:5" x14ac:dyDescent="0.2">
      <c r="A373" s="2" t="s">
        <v>809</v>
      </c>
      <c r="B373" t="str">
        <f t="shared" si="10"/>
        <v>23</v>
      </c>
      <c r="C373" t="str">
        <f t="shared" si="11"/>
        <v>01</v>
      </c>
      <c r="D373" t="str">
        <f>VLOOKUP(B373,Vocabulary!B:D,2,TRUE)</f>
        <v>WAIT*</v>
      </c>
      <c r="E373" t="str">
        <f>VLOOKUP(C373,Vocabulary!B:D,3,TRUE)</f>
        <v>ANY*</v>
      </c>
    </row>
    <row r="374" spans="1:5" x14ac:dyDescent="0.2">
      <c r="A374" s="2" t="s">
        <v>810</v>
      </c>
      <c r="B374" t="str">
        <f t="shared" si="10"/>
        <v>04</v>
      </c>
      <c r="C374" t="str">
        <f t="shared" si="11"/>
        <v>0C</v>
      </c>
      <c r="D374" t="str">
        <f>VLOOKUP(B374,Vocabulary!B:D,2,TRUE)</f>
        <v>TOUC/FEEL*</v>
      </c>
      <c r="E374" t="str">
        <f>VLOOKUP(C374,Vocabulary!B:D,3,TRUE)</f>
        <v>LIGH/BEAM*</v>
      </c>
    </row>
    <row r="375" spans="1:5" x14ac:dyDescent="0.2">
      <c r="A375" s="2" t="s">
        <v>811</v>
      </c>
      <c r="B375" t="str">
        <f t="shared" si="10"/>
        <v>03</v>
      </c>
      <c r="C375" t="str">
        <f t="shared" si="11"/>
        <v>08</v>
      </c>
      <c r="D375" t="str">
        <f>VLOOKUP(B375,Vocabulary!B:D,2,TRUE)</f>
        <v>GO/WALK/RIDE/STEP/ENTE/EXIT/RUN/CROS/SWIM/JUMP*</v>
      </c>
      <c r="E375" t="str">
        <f>VLOOKUP(C375,Vocabulary!B:D,3,TRUE)</f>
        <v>DOOR*</v>
      </c>
    </row>
    <row r="376" spans="1:5" x14ac:dyDescent="0.2">
      <c r="A376" s="2" t="s">
        <v>810</v>
      </c>
      <c r="B376" t="str">
        <f t="shared" si="10"/>
        <v>04</v>
      </c>
      <c r="C376" t="str">
        <f t="shared" si="11"/>
        <v>0C</v>
      </c>
      <c r="D376" t="str">
        <f>VLOOKUP(B376,Vocabulary!B:D,2,TRUE)</f>
        <v>TOUC/FEEL*</v>
      </c>
      <c r="E376" t="str">
        <f>VLOOKUP(C376,Vocabulary!B:D,3,TRUE)</f>
        <v>LIGH/BEAM*</v>
      </c>
    </row>
    <row r="377" spans="1:5" x14ac:dyDescent="0.2">
      <c r="A377" s="2" t="s">
        <v>812</v>
      </c>
      <c r="B377" t="str">
        <f t="shared" si="10"/>
        <v>03</v>
      </c>
      <c r="C377" t="str">
        <f t="shared" si="11"/>
        <v>08</v>
      </c>
      <c r="D377" t="str">
        <f>VLOOKUP(B377,Vocabulary!B:D,2,TRUE)</f>
        <v>GO/WALK/RIDE/STEP/ENTE/EXIT/RUN/CROS/SWIM/JUMP*</v>
      </c>
      <c r="E377" t="str">
        <f>VLOOKUP(C377,Vocabulary!B:D,3,TRUE)</f>
        <v>DOOR*</v>
      </c>
    </row>
    <row r="378" spans="1:5" x14ac:dyDescent="0.2">
      <c r="A378" s="2" t="s">
        <v>813</v>
      </c>
      <c r="B378" t="str">
        <f t="shared" si="10"/>
        <v>03</v>
      </c>
      <c r="C378" t="str">
        <f t="shared" si="11"/>
        <v>3A</v>
      </c>
      <c r="D378" t="str">
        <f>VLOOKUP(B378,Vocabulary!B:D,2,TRUE)</f>
        <v>GO/WALK/RIDE/STEP/ENTE/EXIT/RUN/CROS/SWIM/JUMP*</v>
      </c>
      <c r="E378" t="str">
        <f>VLOOKUP(C378,Vocabulary!B:D,3,TRUE)</f>
        <v>SHIP*</v>
      </c>
    </row>
    <row r="379" spans="1:5" x14ac:dyDescent="0.2">
      <c r="A379" s="2" t="s">
        <v>814</v>
      </c>
      <c r="B379" t="str">
        <f t="shared" si="10"/>
        <v>03</v>
      </c>
      <c r="C379" t="str">
        <f t="shared" si="11"/>
        <v>3A</v>
      </c>
      <c r="D379" t="str">
        <f>VLOOKUP(B379,Vocabulary!B:D,2,TRUE)</f>
        <v>GO/WALK/RIDE/STEP/ENTE/EXIT/RUN/CROS/SWIM/JUMP*</v>
      </c>
      <c r="E379" t="str">
        <f>VLOOKUP(C379,Vocabulary!B:D,3,TRUE)</f>
        <v>SHIP*</v>
      </c>
    </row>
    <row r="380" spans="1:5" x14ac:dyDescent="0.2">
      <c r="A380" s="2" t="s">
        <v>815</v>
      </c>
      <c r="B380" t="str">
        <f t="shared" si="10"/>
        <v>0B</v>
      </c>
      <c r="C380" t="str">
        <f t="shared" si="11"/>
        <v>01</v>
      </c>
      <c r="D380" t="str">
        <f>VLOOKUP(B380,Vocabulary!B:D,2,TRUE)</f>
        <v>PUSH/PRES/SHOV*</v>
      </c>
      <c r="E380" t="str">
        <f>VLOOKUP(C380,Vocabulary!B:D,3,TRUE)</f>
        <v>ANY*</v>
      </c>
    </row>
    <row r="381" spans="1:5" x14ac:dyDescent="0.2">
      <c r="A381" s="2" t="s">
        <v>816</v>
      </c>
      <c r="B381" t="str">
        <f t="shared" si="10"/>
        <v>0C</v>
      </c>
      <c r="C381" t="str">
        <f t="shared" si="11"/>
        <v>01</v>
      </c>
      <c r="D381" t="str">
        <f>VLOOKUP(B381,Vocabulary!B:D,2,TRUE)</f>
        <v>PULL*</v>
      </c>
      <c r="E381" t="str">
        <f>VLOOKUP(C381,Vocabulary!B:D,3,TRUE)</f>
        <v>ANY*</v>
      </c>
    </row>
    <row r="382" spans="1:5" x14ac:dyDescent="0.2">
      <c r="A382" s="2" t="s">
        <v>817</v>
      </c>
      <c r="B382" t="str">
        <f t="shared" si="10"/>
        <v>06</v>
      </c>
      <c r="C382" t="str">
        <f t="shared" si="11"/>
        <v>2F</v>
      </c>
      <c r="D382" t="str">
        <f>VLOOKUP(B382,Vocabulary!B:D,2,TRUE)</f>
        <v>EXAM/LOOK/INSP/SEAR/VIEW/SEE/READ*</v>
      </c>
      <c r="E382" t="str">
        <f>VLOOKUP(C382,Vocabulary!B:D,3,TRUE)</f>
        <v>WIND*</v>
      </c>
    </row>
    <row r="383" spans="1:5" x14ac:dyDescent="0.2">
      <c r="A383" s="2" t="s">
        <v>818</v>
      </c>
      <c r="B383" t="str">
        <f t="shared" si="10"/>
        <v>0B</v>
      </c>
      <c r="C383" t="str">
        <f t="shared" si="11"/>
        <v>27</v>
      </c>
      <c r="D383" t="str">
        <f>VLOOKUP(B383,Vocabulary!B:D,2,TRUE)</f>
        <v>PUSH/PRES/SHOV*</v>
      </c>
      <c r="E383" t="str">
        <f>VLOOKUP(C383,Vocabulary!B:D,3,TRUE)</f>
        <v>GREE*</v>
      </c>
    </row>
    <row r="384" spans="1:5" x14ac:dyDescent="0.2">
      <c r="A384" s="2" t="s">
        <v>819</v>
      </c>
      <c r="B384" t="str">
        <f t="shared" si="10"/>
        <v>0B</v>
      </c>
      <c r="C384" t="str">
        <f t="shared" si="11"/>
        <v>28</v>
      </c>
      <c r="D384" t="str">
        <f>VLOOKUP(B384,Vocabulary!B:D,2,TRUE)</f>
        <v>PUSH/PRES/SHOV*</v>
      </c>
      <c r="E384" t="str">
        <f>VLOOKUP(C384,Vocabulary!B:D,3,TRUE)</f>
        <v>RED*</v>
      </c>
    </row>
    <row r="385" spans="1:5" x14ac:dyDescent="0.2">
      <c r="A385" s="2" t="s">
        <v>820</v>
      </c>
      <c r="B385" t="str">
        <f t="shared" si="10"/>
        <v>06</v>
      </c>
      <c r="C385" t="str">
        <f t="shared" si="11"/>
        <v>30</v>
      </c>
      <c r="D385" t="str">
        <f>VLOOKUP(B385,Vocabulary!B:D,2,TRUE)</f>
        <v>EXAM/LOOK/INSP/SEAR/VIEW/SEE/READ*</v>
      </c>
      <c r="E385" t="str">
        <f>VLOOKUP(C385,Vocabulary!B:D,3,TRUE)</f>
        <v>PANE/CONT*</v>
      </c>
    </row>
    <row r="386" spans="1:5" x14ac:dyDescent="0.2">
      <c r="A386" s="2" t="s">
        <v>821</v>
      </c>
      <c r="B386" t="str">
        <f t="shared" si="10"/>
        <v>03</v>
      </c>
      <c r="C386" t="str">
        <f t="shared" si="11"/>
        <v>3F</v>
      </c>
      <c r="D386" t="str">
        <f>VLOOKUP(B386,Vocabulary!B:D,2,TRUE)</f>
        <v>GO/WALK/RIDE/STEP/ENTE/EXIT/RUN/CROS/SWIM/JUMP*</v>
      </c>
      <c r="E386" t="str">
        <f>VLOOKUP(C386,Vocabulary!B:D,3,TRUE)</f>
        <v>ESCA</v>
      </c>
    </row>
    <row r="387" spans="1:5" x14ac:dyDescent="0.2">
      <c r="A387" s="2" t="s">
        <v>822</v>
      </c>
      <c r="B387" t="str">
        <f t="shared" ref="B387:B442" si="12">LEFT(A387,2)</f>
        <v>03</v>
      </c>
      <c r="C387" t="str">
        <f t="shared" ref="C387:C442" si="13">MID(A387,3,2)</f>
        <v>3F</v>
      </c>
      <c r="D387" t="str">
        <f>VLOOKUP(B387,Vocabulary!B:D,2,TRUE)</f>
        <v>GO/WALK/RIDE/STEP/ENTE/EXIT/RUN/CROS/SWIM/JUMP*</v>
      </c>
      <c r="E387" t="str">
        <f>VLOOKUP(C387,Vocabulary!B:D,3,TRUE)</f>
        <v>ESCA</v>
      </c>
    </row>
    <row r="388" spans="1:5" x14ac:dyDescent="0.2">
      <c r="A388" s="2" t="s">
        <v>823</v>
      </c>
      <c r="B388" t="str">
        <f t="shared" si="12"/>
        <v>06</v>
      </c>
      <c r="C388" t="str">
        <f t="shared" si="13"/>
        <v>2F</v>
      </c>
      <c r="D388" t="str">
        <f>VLOOKUP(B388,Vocabulary!B:D,2,TRUE)</f>
        <v>EXAM/LOOK/INSP/SEAR/VIEW/SEE/READ*</v>
      </c>
      <c r="E388" t="str">
        <f>VLOOKUP(C388,Vocabulary!B:D,3,TRUE)</f>
        <v>WIND*</v>
      </c>
    </row>
    <row r="389" spans="1:5" x14ac:dyDescent="0.2">
      <c r="A389" s="2" t="s">
        <v>824</v>
      </c>
      <c r="B389" t="str">
        <f t="shared" si="12"/>
        <v>06</v>
      </c>
      <c r="C389" t="str">
        <f t="shared" si="13"/>
        <v>2F</v>
      </c>
      <c r="D389" t="str">
        <f>VLOOKUP(B389,Vocabulary!B:D,2,TRUE)</f>
        <v>EXAM/LOOK/INSP/SEAR/VIEW/SEE/READ*</v>
      </c>
      <c r="E389" t="str">
        <f>VLOOKUP(C389,Vocabulary!B:D,3,TRUE)</f>
        <v>WIND*</v>
      </c>
    </row>
    <row r="390" spans="1:5" x14ac:dyDescent="0.2">
      <c r="A390" s="2" t="s">
        <v>825</v>
      </c>
      <c r="B390" t="str">
        <f t="shared" si="12"/>
        <v>0B</v>
      </c>
      <c r="C390" t="str">
        <f t="shared" si="13"/>
        <v>29</v>
      </c>
      <c r="D390" t="str">
        <f>VLOOKUP(B390,Vocabulary!B:D,2,TRUE)</f>
        <v>PUSH/PRES/SHOV*</v>
      </c>
      <c r="E390" t="str">
        <f>VLOOKUP(C390,Vocabulary!B:D,3,TRUE)</f>
        <v>YELL*</v>
      </c>
    </row>
    <row r="391" spans="1:5" x14ac:dyDescent="0.2">
      <c r="A391" s="2" t="s">
        <v>826</v>
      </c>
      <c r="B391" t="str">
        <f t="shared" si="12"/>
        <v>04</v>
      </c>
      <c r="C391" t="str">
        <f t="shared" si="13"/>
        <v>0C</v>
      </c>
      <c r="D391" t="str">
        <f>VLOOKUP(B391,Vocabulary!B:D,2,TRUE)</f>
        <v>TOUC/FEEL*</v>
      </c>
      <c r="E391" t="str">
        <f>VLOOKUP(C391,Vocabulary!B:D,3,TRUE)</f>
        <v>LIGH/BEAM*</v>
      </c>
    </row>
    <row r="392" spans="1:5" x14ac:dyDescent="0.2">
      <c r="A392" s="2" t="s">
        <v>823</v>
      </c>
      <c r="B392" t="str">
        <f t="shared" si="12"/>
        <v>06</v>
      </c>
      <c r="C392" t="str">
        <f t="shared" si="13"/>
        <v>2F</v>
      </c>
      <c r="D392" t="str">
        <f>VLOOKUP(B392,Vocabulary!B:D,2,TRUE)</f>
        <v>EXAM/LOOK/INSP/SEAR/VIEW/SEE/READ*</v>
      </c>
      <c r="E392" t="str">
        <f>VLOOKUP(C392,Vocabulary!B:D,3,TRUE)</f>
        <v>WIND*</v>
      </c>
    </row>
    <row r="393" spans="1:5" x14ac:dyDescent="0.2">
      <c r="A393" s="2" t="s">
        <v>824</v>
      </c>
      <c r="B393" t="str">
        <f t="shared" si="12"/>
        <v>06</v>
      </c>
      <c r="C393" t="str">
        <f t="shared" si="13"/>
        <v>2F</v>
      </c>
      <c r="D393" t="str">
        <f>VLOOKUP(B393,Vocabulary!B:D,2,TRUE)</f>
        <v>EXAM/LOOK/INSP/SEAR/VIEW/SEE/READ*</v>
      </c>
      <c r="E393" t="str">
        <f>VLOOKUP(C393,Vocabulary!B:D,3,TRUE)</f>
        <v>WIND*</v>
      </c>
    </row>
    <row r="394" spans="1:5" x14ac:dyDescent="0.2">
      <c r="A394" s="2" t="s">
        <v>827</v>
      </c>
      <c r="B394" t="str">
        <f t="shared" si="12"/>
        <v>0B</v>
      </c>
      <c r="C394" t="str">
        <f t="shared" si="13"/>
        <v>29</v>
      </c>
      <c r="D394" t="str">
        <f>VLOOKUP(B394,Vocabulary!B:D,2,TRUE)</f>
        <v>PUSH/PRES/SHOV*</v>
      </c>
      <c r="E394" t="str">
        <f>VLOOKUP(C394,Vocabulary!B:D,3,TRUE)</f>
        <v>YELL*</v>
      </c>
    </row>
    <row r="395" spans="1:5" x14ac:dyDescent="0.2">
      <c r="A395" s="2" t="s">
        <v>828</v>
      </c>
      <c r="B395" t="str">
        <f t="shared" si="12"/>
        <v>06</v>
      </c>
      <c r="C395" t="str">
        <f t="shared" si="13"/>
        <v>30</v>
      </c>
      <c r="D395" t="str">
        <f>VLOOKUP(B395,Vocabulary!B:D,2,TRUE)</f>
        <v>EXAM/LOOK/INSP/SEAR/VIEW/SEE/READ*</v>
      </c>
      <c r="E395" t="str">
        <f>VLOOKUP(C395,Vocabulary!B:D,3,TRUE)</f>
        <v>PANE/CONT*</v>
      </c>
    </row>
    <row r="396" spans="1:5" x14ac:dyDescent="0.2">
      <c r="A396" s="2" t="s">
        <v>829</v>
      </c>
      <c r="B396" t="str">
        <f t="shared" si="12"/>
        <v>0B</v>
      </c>
      <c r="C396" t="str">
        <f t="shared" si="13"/>
        <v>27</v>
      </c>
      <c r="D396" t="str">
        <f>VLOOKUP(B396,Vocabulary!B:D,2,TRUE)</f>
        <v>PUSH/PRES/SHOV*</v>
      </c>
      <c r="E396" t="str">
        <f>VLOOKUP(C396,Vocabulary!B:D,3,TRUE)</f>
        <v>GREE*</v>
      </c>
    </row>
    <row r="397" spans="1:5" x14ac:dyDescent="0.2">
      <c r="A397" s="2" t="s">
        <v>830</v>
      </c>
      <c r="B397" t="str">
        <f t="shared" si="12"/>
        <v>0C</v>
      </c>
      <c r="C397" t="str">
        <f t="shared" si="13"/>
        <v>01</v>
      </c>
      <c r="D397" t="str">
        <f>VLOOKUP(B397,Vocabulary!B:D,2,TRUE)</f>
        <v>PULL*</v>
      </c>
      <c r="E397" t="str">
        <f>VLOOKUP(C397,Vocabulary!B:D,3,TRUE)</f>
        <v>ANY*</v>
      </c>
    </row>
    <row r="398" spans="1:5" x14ac:dyDescent="0.2">
      <c r="A398" s="2" t="s">
        <v>831</v>
      </c>
      <c r="B398" t="str">
        <f t="shared" si="12"/>
        <v>0B</v>
      </c>
      <c r="C398" t="str">
        <f t="shared" si="13"/>
        <v>01</v>
      </c>
      <c r="D398" t="str">
        <f>VLOOKUP(B398,Vocabulary!B:D,2,TRUE)</f>
        <v>PUSH/PRES/SHOV*</v>
      </c>
      <c r="E398" t="str">
        <f>VLOOKUP(C398,Vocabulary!B:D,3,TRUE)</f>
        <v>ANY*</v>
      </c>
    </row>
    <row r="399" spans="1:5" x14ac:dyDescent="0.2">
      <c r="A399" s="2" t="s">
        <v>832</v>
      </c>
      <c r="B399" t="str">
        <f t="shared" si="12"/>
        <v>0C</v>
      </c>
      <c r="C399" t="str">
        <f t="shared" si="13"/>
        <v>1A</v>
      </c>
      <c r="D399" t="str">
        <f>VLOOKUP(B399,Vocabulary!B:D,2,TRUE)</f>
        <v>PULL*</v>
      </c>
      <c r="E399" t="str">
        <f>VLOOKUP(C399,Vocabulary!B:D,3,TRUE)</f>
        <v>LEVE*</v>
      </c>
    </row>
    <row r="400" spans="1:5" x14ac:dyDescent="0.2">
      <c r="A400" s="2" t="s">
        <v>833</v>
      </c>
      <c r="B400" t="str">
        <f t="shared" si="12"/>
        <v>0B</v>
      </c>
      <c r="C400" t="str">
        <f t="shared" si="13"/>
        <v>1A</v>
      </c>
      <c r="D400" t="str">
        <f>VLOOKUP(B400,Vocabulary!B:D,2,TRUE)</f>
        <v>PUSH/PRES/SHOV*</v>
      </c>
      <c r="E400" t="str">
        <f>VLOOKUP(C400,Vocabulary!B:D,3,TRUE)</f>
        <v>LEVE*</v>
      </c>
    </row>
    <row r="401" spans="1:5" x14ac:dyDescent="0.2">
      <c r="A401" s="2" t="s">
        <v>834</v>
      </c>
      <c r="B401" t="str">
        <f t="shared" si="12"/>
        <v>0C</v>
      </c>
      <c r="C401" t="str">
        <f t="shared" si="13"/>
        <v>1A</v>
      </c>
      <c r="D401" t="str">
        <f>VLOOKUP(B401,Vocabulary!B:D,2,TRUE)</f>
        <v>PULL*</v>
      </c>
      <c r="E401" t="str">
        <f>VLOOKUP(C401,Vocabulary!B:D,3,TRUE)</f>
        <v>LEVE*</v>
      </c>
    </row>
    <row r="402" spans="1:5" x14ac:dyDescent="0.2">
      <c r="A402" s="2" t="s">
        <v>835</v>
      </c>
      <c r="B402" t="str">
        <f t="shared" si="12"/>
        <v>0B</v>
      </c>
      <c r="C402" t="str">
        <f t="shared" si="13"/>
        <v>1A</v>
      </c>
      <c r="D402" t="str">
        <f>VLOOKUP(B402,Vocabulary!B:D,2,TRUE)</f>
        <v>PUSH/PRES/SHOV*</v>
      </c>
      <c r="E402" t="str">
        <f>VLOOKUP(C402,Vocabulary!B:D,3,TRUE)</f>
        <v>LEVE*</v>
      </c>
    </row>
    <row r="403" spans="1:5" x14ac:dyDescent="0.2">
      <c r="A403" s="2" t="s">
        <v>829</v>
      </c>
      <c r="B403" t="str">
        <f t="shared" si="12"/>
        <v>0B</v>
      </c>
      <c r="C403" t="str">
        <f t="shared" si="13"/>
        <v>27</v>
      </c>
      <c r="D403" t="str">
        <f>VLOOKUP(B403,Vocabulary!B:D,2,TRUE)</f>
        <v>PUSH/PRES/SHOV*</v>
      </c>
      <c r="E403" t="str">
        <f>VLOOKUP(C403,Vocabulary!B:D,3,TRUE)</f>
        <v>GREE*</v>
      </c>
    </row>
    <row r="404" spans="1:5" x14ac:dyDescent="0.2">
      <c r="A404" s="2" t="s">
        <v>836</v>
      </c>
      <c r="B404" t="str">
        <f t="shared" si="12"/>
        <v>0B</v>
      </c>
      <c r="C404" t="str">
        <f t="shared" si="13"/>
        <v>27</v>
      </c>
      <c r="D404" t="str">
        <f>VLOOKUP(B404,Vocabulary!B:D,2,TRUE)</f>
        <v>PUSH/PRES/SHOV*</v>
      </c>
      <c r="E404" t="str">
        <f>VLOOKUP(C404,Vocabulary!B:D,3,TRUE)</f>
        <v>GREE*</v>
      </c>
    </row>
    <row r="405" spans="1:5" x14ac:dyDescent="0.2">
      <c r="A405" s="2" t="s">
        <v>837</v>
      </c>
      <c r="B405" t="str">
        <f t="shared" si="12"/>
        <v>0B</v>
      </c>
      <c r="C405" t="str">
        <f t="shared" si="13"/>
        <v>28</v>
      </c>
      <c r="D405" t="str">
        <f>VLOOKUP(B405,Vocabulary!B:D,2,TRUE)</f>
        <v>PUSH/PRES/SHOV*</v>
      </c>
      <c r="E405" t="str">
        <f>VLOOKUP(C405,Vocabulary!B:D,3,TRUE)</f>
        <v>RED*</v>
      </c>
    </row>
    <row r="406" spans="1:5" x14ac:dyDescent="0.2">
      <c r="A406" s="2">
        <v>63909131543</v>
      </c>
      <c r="B406" t="str">
        <f t="shared" si="12"/>
        <v>63</v>
      </c>
      <c r="C406" t="str">
        <f t="shared" si="13"/>
        <v>90</v>
      </c>
      <c r="D406">
        <f>VLOOKUP(B406,Vocabulary!B:D,2,TRUE)</f>
        <v>0</v>
      </c>
      <c r="E406" t="str">
        <f>VLOOKUP(C406,Vocabulary!B:D,3,TRUE)</f>
        <v>ESCA</v>
      </c>
    </row>
    <row r="407" spans="1:5" x14ac:dyDescent="0.2">
      <c r="A407" s="2" t="s">
        <v>838</v>
      </c>
      <c r="B407" t="str">
        <f t="shared" si="12"/>
        <v>06</v>
      </c>
      <c r="C407" t="str">
        <f t="shared" si="13"/>
        <v>39</v>
      </c>
      <c r="D407" t="str">
        <f>VLOOKUP(B407,Vocabulary!B:D,2,TRUE)</f>
        <v>EXAM/LOOK/INSP/SEAR/VIEW/SEE/READ*</v>
      </c>
      <c r="E407" t="str">
        <f>VLOOKUP(C407,Vocabulary!B:D,3,TRUE)</f>
        <v>COMP*</v>
      </c>
    </row>
    <row r="408" spans="1:5" x14ac:dyDescent="0.2">
      <c r="A408" s="2" t="s">
        <v>839</v>
      </c>
      <c r="B408" t="str">
        <f t="shared" si="12"/>
        <v>0B</v>
      </c>
      <c r="C408" t="str">
        <f t="shared" si="13"/>
        <v>28</v>
      </c>
      <c r="D408" t="str">
        <f>VLOOKUP(B408,Vocabulary!B:D,2,TRUE)</f>
        <v>PUSH/PRES/SHOV*</v>
      </c>
      <c r="E408" t="str">
        <f>VLOOKUP(C408,Vocabulary!B:D,3,TRUE)</f>
        <v>RED*</v>
      </c>
    </row>
    <row r="409" spans="1:5" x14ac:dyDescent="0.2">
      <c r="A409" s="2" t="s">
        <v>839</v>
      </c>
      <c r="B409" t="str">
        <f t="shared" si="12"/>
        <v>0B</v>
      </c>
      <c r="C409" t="str">
        <f t="shared" si="13"/>
        <v>28</v>
      </c>
      <c r="D409" t="str">
        <f>VLOOKUP(B409,Vocabulary!B:D,2,TRUE)</f>
        <v>PUSH/PRES/SHOV*</v>
      </c>
      <c r="E409" t="str">
        <f>VLOOKUP(C409,Vocabulary!B:D,3,TRUE)</f>
        <v>RED*</v>
      </c>
    </row>
    <row r="410" spans="1:5" x14ac:dyDescent="0.2">
      <c r="A410" s="2" t="s">
        <v>840</v>
      </c>
      <c r="B410" t="str">
        <f t="shared" si="12"/>
        <v>0B</v>
      </c>
      <c r="C410" t="str">
        <f t="shared" si="13"/>
        <v>28</v>
      </c>
      <c r="D410" t="str">
        <f>VLOOKUP(B410,Vocabulary!B:D,2,TRUE)</f>
        <v>PUSH/PRES/SHOV*</v>
      </c>
      <c r="E410" t="str">
        <f>VLOOKUP(C410,Vocabulary!B:D,3,TRUE)</f>
        <v>RED*</v>
      </c>
    </row>
    <row r="411" spans="1:5" x14ac:dyDescent="0.2">
      <c r="A411" s="2" t="s">
        <v>841</v>
      </c>
      <c r="B411" t="str">
        <f t="shared" si="12"/>
        <v>0B</v>
      </c>
      <c r="C411" t="str">
        <f t="shared" si="13"/>
        <v>28</v>
      </c>
      <c r="D411" t="str">
        <f>VLOOKUP(B411,Vocabulary!B:D,2,TRUE)</f>
        <v>PUSH/PRES/SHOV*</v>
      </c>
      <c r="E411" t="str">
        <f>VLOOKUP(C411,Vocabulary!B:D,3,TRUE)</f>
        <v>RED*</v>
      </c>
    </row>
    <row r="412" spans="1:5" x14ac:dyDescent="0.2">
      <c r="A412" s="2" t="s">
        <v>842</v>
      </c>
      <c r="B412" t="str">
        <f t="shared" si="12"/>
        <v>0B</v>
      </c>
      <c r="C412" t="str">
        <f t="shared" si="13"/>
        <v>28</v>
      </c>
      <c r="D412" t="str">
        <f>VLOOKUP(B412,Vocabulary!B:D,2,TRUE)</f>
        <v>PUSH/PRES/SHOV*</v>
      </c>
      <c r="E412" t="str">
        <f>VLOOKUP(C412,Vocabulary!B:D,3,TRUE)</f>
        <v>RED*</v>
      </c>
    </row>
    <row r="413" spans="1:5" x14ac:dyDescent="0.2">
      <c r="A413" s="2" t="s">
        <v>839</v>
      </c>
      <c r="B413" t="str">
        <f t="shared" si="12"/>
        <v>0B</v>
      </c>
      <c r="C413" t="str">
        <f t="shared" si="13"/>
        <v>28</v>
      </c>
      <c r="D413" t="str">
        <f>VLOOKUP(B413,Vocabulary!B:D,2,TRUE)</f>
        <v>PUSH/PRES/SHOV*</v>
      </c>
      <c r="E413" t="str">
        <f>VLOOKUP(C413,Vocabulary!B:D,3,TRUE)</f>
        <v>RED*</v>
      </c>
    </row>
    <row r="414" spans="1:5" x14ac:dyDescent="0.2">
      <c r="A414" s="2" t="s">
        <v>843</v>
      </c>
      <c r="B414" t="str">
        <f t="shared" si="12"/>
        <v>0B</v>
      </c>
      <c r="C414" t="str">
        <f t="shared" si="13"/>
        <v>28</v>
      </c>
      <c r="D414" t="str">
        <f>VLOOKUP(B414,Vocabulary!B:D,2,TRUE)</f>
        <v>PUSH/PRES/SHOV*</v>
      </c>
      <c r="E414" t="str">
        <f>VLOOKUP(C414,Vocabulary!B:D,3,TRUE)</f>
        <v>RED*</v>
      </c>
    </row>
    <row r="415" spans="1:5" x14ac:dyDescent="0.2">
      <c r="A415" s="2" t="s">
        <v>844</v>
      </c>
      <c r="B415" t="str">
        <f t="shared" si="12"/>
        <v>03</v>
      </c>
      <c r="C415" t="str">
        <f t="shared" si="13"/>
        <v>08</v>
      </c>
      <c r="D415" t="str">
        <f>VLOOKUP(B415,Vocabulary!B:D,2,TRUE)</f>
        <v>GO/WALK/RIDE/STEP/ENTE/EXIT/RUN/CROS/SWIM/JUMP*</v>
      </c>
      <c r="E415" t="str">
        <f>VLOOKUP(C415,Vocabulary!B:D,3,TRUE)</f>
        <v>DOOR*</v>
      </c>
    </row>
    <row r="416" spans="1:5" x14ac:dyDescent="0.2">
      <c r="A416" s="2" t="s">
        <v>845</v>
      </c>
      <c r="B416" t="str">
        <f t="shared" si="12"/>
        <v>06</v>
      </c>
      <c r="C416" t="str">
        <f t="shared" si="13"/>
        <v>32</v>
      </c>
      <c r="D416" t="str">
        <f>VLOOKUP(B416,Vocabulary!B:D,2,TRUE)</f>
        <v>EXAM/LOOK/INSP/SEAR/VIEW/SEE/READ*</v>
      </c>
      <c r="E416" t="str">
        <f>VLOOKUP(C416,Vocabulary!B:D,3,TRUE)</f>
        <v>LAKE/WATE*</v>
      </c>
    </row>
    <row r="417" spans="1:5" x14ac:dyDescent="0.2">
      <c r="A417" s="2" t="s">
        <v>846</v>
      </c>
      <c r="B417" t="str">
        <f t="shared" si="12"/>
        <v>03</v>
      </c>
      <c r="C417" t="str">
        <f t="shared" si="13"/>
        <v>32</v>
      </c>
      <c r="D417" t="str">
        <f>VLOOKUP(B417,Vocabulary!B:D,2,TRUE)</f>
        <v>GO/WALK/RIDE/STEP/ENTE/EXIT/RUN/CROS/SWIM/JUMP*</v>
      </c>
      <c r="E417" t="str">
        <f>VLOOKUP(C417,Vocabulary!B:D,3,TRUE)</f>
        <v>LAKE/WATE*</v>
      </c>
    </row>
    <row r="418" spans="1:5" x14ac:dyDescent="0.2">
      <c r="A418" s="2" t="s">
        <v>872</v>
      </c>
      <c r="B418" t="str">
        <f t="shared" si="12"/>
        <v>03</v>
      </c>
      <c r="C418" t="str">
        <f t="shared" si="13"/>
        <v>3D</v>
      </c>
      <c r="D418" t="str">
        <f>VLOOKUP(B418,Vocabulary!B:D,2,TRUE)</f>
        <v>GO/WALK/RIDE/STEP/ENTE/EXIT/RUN/CROS/SWIM/JUMP*</v>
      </c>
      <c r="E418" t="str">
        <f>VLOOKUP(C418,Vocabulary!B:D,3,TRUE)</f>
        <v>BRID*</v>
      </c>
    </row>
    <row r="419" spans="1:5" x14ac:dyDescent="0.2">
      <c r="A419" s="2" t="s">
        <v>873</v>
      </c>
      <c r="B419" t="str">
        <f t="shared" si="12"/>
        <v>03</v>
      </c>
      <c r="C419" t="str">
        <f t="shared" si="13"/>
        <v>3D</v>
      </c>
      <c r="D419" t="str">
        <f>VLOOKUP(B419,Vocabulary!B:D,2,TRUE)</f>
        <v>GO/WALK/RIDE/STEP/ENTE/EXIT/RUN/CROS/SWIM/JUMP*</v>
      </c>
      <c r="E419" t="str">
        <f>VLOOKUP(C419,Vocabulary!B:D,3,TRUE)</f>
        <v>BRID*</v>
      </c>
    </row>
    <row r="420" spans="1:5" x14ac:dyDescent="0.2">
      <c r="A420" s="2" t="s">
        <v>847</v>
      </c>
      <c r="B420" t="str">
        <f t="shared" si="12"/>
        <v>03</v>
      </c>
      <c r="C420" t="str">
        <f t="shared" si="13"/>
        <v>3E</v>
      </c>
      <c r="D420" t="str">
        <f>VLOOKUP(B420,Vocabulary!B:D,2,TRUE)</f>
        <v>GO/WALK/RIDE/STEP/ENTE/EXIT/RUN/CROS/SWIM/JUMP*</v>
      </c>
      <c r="E420" t="str">
        <f>VLOOKUP(C420,Vocabulary!B:D,3,TRUE)</f>
        <v>CITY*</v>
      </c>
    </row>
    <row r="421" spans="1:5" x14ac:dyDescent="0.2">
      <c r="A421" s="2" t="s">
        <v>848</v>
      </c>
      <c r="B421" t="str">
        <f t="shared" si="12"/>
        <v>25</v>
      </c>
      <c r="C421" t="str">
        <f t="shared" si="13"/>
        <v>34</v>
      </c>
      <c r="D421" t="str">
        <f>VLOOKUP(B421,Vocabulary!B:D,2,TRUE)</f>
        <v>LOAD*</v>
      </c>
      <c r="E421" t="str">
        <f>VLOOKUP(C421,Vocabulary!B:D,3,TRUE)</f>
        <v>GAME*</v>
      </c>
    </row>
    <row r="422" spans="1:5" x14ac:dyDescent="0.2">
      <c r="A422" s="2" t="s">
        <v>849</v>
      </c>
      <c r="B422" t="str">
        <f t="shared" si="12"/>
        <v>26</v>
      </c>
      <c r="C422" t="str">
        <f t="shared" si="13"/>
        <v>01</v>
      </c>
      <c r="D422" t="str">
        <f>VLOOKUP(B422,Vocabulary!B:D,2,TRUE)</f>
        <v>SHIT/FUCK/DAMN/PISS/ASS/BAST*</v>
      </c>
      <c r="E422" t="str">
        <f>VLOOKUP(C422,Vocabulary!B:D,3,TRUE)</f>
        <v>ANY*</v>
      </c>
    </row>
    <row r="423" spans="1:5" x14ac:dyDescent="0.2">
      <c r="A423" s="2" t="s">
        <v>850</v>
      </c>
      <c r="B423" t="str">
        <f t="shared" si="12"/>
        <v>09</v>
      </c>
      <c r="C423" t="str">
        <f t="shared" si="13"/>
        <v>01</v>
      </c>
      <c r="D423" t="str">
        <f>VLOOKUP(B423,Vocabulary!B:D,2,TRUE)</f>
        <v>USE/WITH*</v>
      </c>
      <c r="E423" t="str">
        <f>VLOOKUP(C423,Vocabulary!B:D,3,TRUE)</f>
        <v>ANY*</v>
      </c>
    </row>
    <row r="424" spans="1:5" x14ac:dyDescent="0.2">
      <c r="A424" s="2" t="s">
        <v>851</v>
      </c>
      <c r="B424" t="str">
        <f t="shared" si="12"/>
        <v>05</v>
      </c>
      <c r="C424" t="str">
        <f t="shared" si="13"/>
        <v>01</v>
      </c>
      <c r="D424" t="str">
        <f>VLOOKUP(B424,Vocabulary!B:D,2,TRUE)</f>
        <v>KILL/DEST/WREC/RUIN/SMAS/BREA/ATTA*</v>
      </c>
      <c r="E424" t="str">
        <f>VLOOKUP(C424,Vocabulary!B:D,3,TRUE)</f>
        <v>ANY*</v>
      </c>
    </row>
    <row r="425" spans="1:5" x14ac:dyDescent="0.2">
      <c r="A425" s="2" t="s">
        <v>852</v>
      </c>
      <c r="B425" t="str">
        <f t="shared" si="12"/>
        <v>04</v>
      </c>
      <c r="C425" t="str">
        <f t="shared" si="13"/>
        <v>01</v>
      </c>
      <c r="D425" t="str">
        <f>VLOOKUP(B425,Vocabulary!B:D,2,TRUE)</f>
        <v>TOUC/FEEL*</v>
      </c>
      <c r="E425" t="str">
        <f>VLOOKUP(C425,Vocabulary!B:D,3,TRUE)</f>
        <v>ANY*</v>
      </c>
    </row>
    <row r="426" spans="1:5" x14ac:dyDescent="0.2">
      <c r="A426" s="2" t="s">
        <v>853</v>
      </c>
      <c r="B426" t="str">
        <f t="shared" si="12"/>
        <v>10</v>
      </c>
      <c r="C426" t="str">
        <f t="shared" si="13"/>
        <v>01</v>
      </c>
      <c r="D426" t="str">
        <f>VLOOKUP(B426,Vocabulary!B:D,2,TRUE)</f>
        <v>INSE*</v>
      </c>
      <c r="E426" t="str">
        <f>VLOOKUP(C426,Vocabulary!B:D,3,TRUE)</f>
        <v>ANY*</v>
      </c>
    </row>
    <row r="427" spans="1:5" x14ac:dyDescent="0.2">
      <c r="A427" s="2" t="s">
        <v>854</v>
      </c>
      <c r="B427" t="str">
        <f t="shared" si="12"/>
        <v>0A</v>
      </c>
      <c r="C427" t="str">
        <f t="shared" si="13"/>
        <v>01</v>
      </c>
      <c r="D427" t="str">
        <f>VLOOKUP(B427,Vocabulary!B:D,2,TRUE)</f>
        <v>BEND/FLEX/TWIS*</v>
      </c>
      <c r="E427" t="str">
        <f>VLOOKUP(C427,Vocabulary!B:D,3,TRUE)</f>
        <v>ANY*</v>
      </c>
    </row>
    <row r="428" spans="1:5" x14ac:dyDescent="0.2">
      <c r="A428" s="2" t="s">
        <v>855</v>
      </c>
      <c r="B428" t="str">
        <f t="shared" si="12"/>
        <v>0B</v>
      </c>
      <c r="C428" t="str">
        <f t="shared" si="13"/>
        <v>01</v>
      </c>
      <c r="D428" t="str">
        <f>VLOOKUP(B428,Vocabulary!B:D,2,TRUE)</f>
        <v>PUSH/PRES/SHOV*</v>
      </c>
      <c r="E428" t="str">
        <f>VLOOKUP(C428,Vocabulary!B:D,3,TRUE)</f>
        <v>ANY*</v>
      </c>
    </row>
    <row r="429" spans="1:5" x14ac:dyDescent="0.2">
      <c r="A429" s="2" t="s">
        <v>856</v>
      </c>
      <c r="B429" t="str">
        <f t="shared" si="12"/>
        <v>0C</v>
      </c>
      <c r="C429" t="str">
        <f t="shared" si="13"/>
        <v>01</v>
      </c>
      <c r="D429" t="str">
        <f>VLOOKUP(B429,Vocabulary!B:D,2,TRUE)</f>
        <v>PULL*</v>
      </c>
      <c r="E429" t="str">
        <f>VLOOKUP(C429,Vocabulary!B:D,3,TRUE)</f>
        <v>ANY*</v>
      </c>
    </row>
    <row r="430" spans="1:5" x14ac:dyDescent="0.2">
      <c r="A430" s="2" t="s">
        <v>857</v>
      </c>
      <c r="B430" t="str">
        <f t="shared" si="12"/>
        <v>15</v>
      </c>
      <c r="C430" t="str">
        <f t="shared" si="13"/>
        <v>01</v>
      </c>
      <c r="D430" t="str">
        <f>VLOOKUP(B430,Vocabulary!B:D,2,TRUE)</f>
        <v>SAY/SCRE/HOLL/YELL*</v>
      </c>
      <c r="E430" t="str">
        <f>VLOOKUP(C430,Vocabulary!B:D,3,TRUE)</f>
        <v>ANY*</v>
      </c>
    </row>
    <row r="431" spans="1:5" x14ac:dyDescent="0.2">
      <c r="A431" s="2" t="s">
        <v>858</v>
      </c>
      <c r="B431" t="str">
        <f t="shared" si="12"/>
        <v>06</v>
      </c>
      <c r="C431" t="str">
        <f t="shared" si="13"/>
        <v>01</v>
      </c>
      <c r="D431" t="str">
        <f>VLOOKUP(B431,Vocabulary!B:D,2,TRUE)</f>
        <v>EXAM/LOOK/INSP/SEAR/VIEW/SEE/READ*</v>
      </c>
      <c r="E431" t="str">
        <f>VLOOKUP(C431,Vocabulary!B:D,3,TRUE)</f>
        <v>ANY*</v>
      </c>
    </row>
    <row r="432" spans="1:5" x14ac:dyDescent="0.2">
      <c r="A432" s="2" t="s">
        <v>859</v>
      </c>
      <c r="B432" t="str">
        <f t="shared" si="12"/>
        <v>11</v>
      </c>
      <c r="C432" t="str">
        <f t="shared" si="13"/>
        <v>01</v>
      </c>
      <c r="D432" t="str">
        <f>VLOOKUP(B432,Vocabulary!B:D,2,TRUE)</f>
        <v>SHOO/BLAS*</v>
      </c>
      <c r="E432" t="str">
        <f>VLOOKUP(C432,Vocabulary!B:D,3,TRUE)</f>
        <v>ANY*</v>
      </c>
    </row>
    <row r="433" spans="1:5" x14ac:dyDescent="0.2">
      <c r="A433" s="2" t="s">
        <v>860</v>
      </c>
      <c r="B433" t="str">
        <f t="shared" si="12"/>
        <v>0E</v>
      </c>
      <c r="C433" t="str">
        <f t="shared" si="13"/>
        <v>01</v>
      </c>
      <c r="D433" t="str">
        <f>VLOOKUP(B433,Vocabulary!B:D,2,TRUE)</f>
        <v>HELP/HINT*</v>
      </c>
      <c r="E433" t="str">
        <f>VLOOKUP(C433,Vocabulary!B:D,3,TRUE)</f>
        <v>ANY*</v>
      </c>
    </row>
    <row r="434" spans="1:5" x14ac:dyDescent="0.2">
      <c r="A434" s="2" t="s">
        <v>861</v>
      </c>
      <c r="B434" t="str">
        <f t="shared" si="12"/>
        <v>21</v>
      </c>
      <c r="C434" t="str">
        <f t="shared" si="13"/>
        <v>01</v>
      </c>
      <c r="D434" t="str">
        <f>VLOOKUP(B434,Vocabulary!B:D,2,TRUE)</f>
        <v>EAT/TAST/SMEL*</v>
      </c>
      <c r="E434" t="str">
        <f>VLOOKUP(C434,Vocabulary!B:D,3,TRUE)</f>
        <v>ANY*</v>
      </c>
    </row>
    <row r="435" spans="1:5" x14ac:dyDescent="0.2">
      <c r="A435" s="2" t="s">
        <v>862</v>
      </c>
      <c r="B435" t="str">
        <f t="shared" si="12"/>
        <v>20</v>
      </c>
      <c r="C435" t="str">
        <f t="shared" si="13"/>
        <v>01</v>
      </c>
      <c r="D435" t="str">
        <f>VLOOKUP(B435,Vocabulary!B:D,2,TRUE)</f>
        <v>DRIN/SWAL*</v>
      </c>
      <c r="E435" t="str">
        <f>VLOOKUP(C435,Vocabulary!B:D,3,TRUE)</f>
        <v>ANY*</v>
      </c>
    </row>
    <row r="436" spans="1:5" x14ac:dyDescent="0.2">
      <c r="A436" s="2" t="s">
        <v>863</v>
      </c>
      <c r="B436" t="str">
        <f t="shared" si="12"/>
        <v>0F</v>
      </c>
      <c r="C436" t="str">
        <f t="shared" si="13"/>
        <v>34</v>
      </c>
      <c r="D436" t="str">
        <f>VLOOKUP(B436,Vocabulary!B:D,2,TRUE)</f>
        <v>SAVE*</v>
      </c>
      <c r="E436" t="str">
        <f>VLOOKUP(C436,Vocabulary!B:D,3,TRUE)</f>
        <v>GAME*</v>
      </c>
    </row>
    <row r="437" spans="1:5" x14ac:dyDescent="0.2">
      <c r="A437" s="2" t="s">
        <v>864</v>
      </c>
      <c r="B437" t="str">
        <f t="shared" si="12"/>
        <v>0F</v>
      </c>
      <c r="C437" t="str">
        <f t="shared" si="13"/>
        <v>34</v>
      </c>
      <c r="D437" t="str">
        <f>VLOOKUP(B437,Vocabulary!B:D,2,TRUE)</f>
        <v>SAVE*</v>
      </c>
      <c r="E437" t="str">
        <f>VLOOKUP(C437,Vocabulary!B:D,3,TRUE)</f>
        <v>GAME*</v>
      </c>
    </row>
    <row r="438" spans="1:5" x14ac:dyDescent="0.2">
      <c r="A438" s="2" t="s">
        <v>865</v>
      </c>
      <c r="B438" t="str">
        <f t="shared" si="12"/>
        <v>0D</v>
      </c>
      <c r="C438" t="str">
        <f t="shared" si="13"/>
        <v>01</v>
      </c>
      <c r="D438" t="str">
        <f>VLOOKUP(B438,Vocabulary!B:D,2,TRUE)</f>
        <v>QUIT*</v>
      </c>
      <c r="E438" t="str">
        <f>VLOOKUP(C438,Vocabulary!B:D,3,TRUE)</f>
        <v>ANY*</v>
      </c>
    </row>
    <row r="439" spans="1:5" x14ac:dyDescent="0.2">
      <c r="A439" s="2" t="s">
        <v>866</v>
      </c>
      <c r="B439" t="str">
        <f t="shared" si="12"/>
        <v>27</v>
      </c>
      <c r="C439" t="str">
        <f t="shared" si="13"/>
        <v>01</v>
      </c>
      <c r="D439" t="str">
        <f>VLOOKUP(B439,Vocabulary!B:D,2,TRUE)</f>
        <v>VERSION*</v>
      </c>
      <c r="E439" t="str">
        <f>VLOOKUP(C439,Vocabulary!B:D,3,TRUE)</f>
        <v>ANY*</v>
      </c>
    </row>
    <row r="440" spans="1:5" x14ac:dyDescent="0.2">
      <c r="A440" s="2" t="s">
        <v>867</v>
      </c>
      <c r="B440" t="str">
        <f t="shared" si="12"/>
        <v>28</v>
      </c>
      <c r="C440" t="str">
        <f t="shared" si="13"/>
        <v>01</v>
      </c>
      <c r="D440" t="str">
        <f>VLOOKUP(B440,Vocabulary!B:D,2,TRUE)</f>
        <v>MAC*</v>
      </c>
      <c r="E440" t="str">
        <f>VLOOKUP(C440,Vocabulary!B:D,3,TRUE)</f>
        <v>ANY*</v>
      </c>
    </row>
    <row r="441" spans="1:5" x14ac:dyDescent="0.2">
      <c r="A441" s="2" t="s">
        <v>868</v>
      </c>
      <c r="B441" t="str">
        <f t="shared" si="12"/>
        <v>29</v>
      </c>
      <c r="C441" t="str">
        <f t="shared" si="13"/>
        <v>01</v>
      </c>
      <c r="D441" t="str">
        <f>VLOOKUP(B441,Vocabulary!B:D,2,TRUE)</f>
        <v>SCOR*</v>
      </c>
      <c r="E441" t="str">
        <f>VLOOKUP(C441,Vocabulary!B:D,3,TRUE)</f>
        <v>ANY*</v>
      </c>
    </row>
    <row r="442" spans="1:5" x14ac:dyDescent="0.2">
      <c r="A442" s="2" t="s">
        <v>869</v>
      </c>
      <c r="B442" t="str">
        <f t="shared" si="12"/>
        <v>2A</v>
      </c>
      <c r="C442" t="str">
        <f t="shared" si="13"/>
        <v>01</v>
      </c>
      <c r="D442" t="str">
        <f>VLOOKUP(B442,Vocabulary!B:D,2,TRUE)</f>
        <v>MAGIC</v>
      </c>
      <c r="E442" t="str">
        <f>VLOOKUP(C442,Vocabulary!B:D,3,TRUE)</f>
        <v>ANY*</v>
      </c>
    </row>
  </sheetData>
  <autoFilter ref="A1:E442" xr:uid="{98724AD6-09A7-DB40-9532-1C8587D85B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Descriptions</vt:lpstr>
      <vt:lpstr>Texts</vt:lpstr>
      <vt:lpstr>Vocabulary</vt:lpstr>
      <vt:lpstr>Messages</vt:lpstr>
      <vt:lpstr>Objects</vt:lpstr>
      <vt:lpstr>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Vignau</dc:creator>
  <cp:lastModifiedBy>Antoine Vignau</cp:lastModifiedBy>
  <dcterms:created xsi:type="dcterms:W3CDTF">2026-06-21T15:12:56Z</dcterms:created>
  <dcterms:modified xsi:type="dcterms:W3CDTF">2026-06-28T20:36:24Z</dcterms:modified>
</cp:coreProperties>
</file>